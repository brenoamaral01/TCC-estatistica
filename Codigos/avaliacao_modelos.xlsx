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13_ncr:1_{D8E9AE73-B5A8-4586-8B4E-B1DA0E436CE6}" xr6:coauthVersionLast="47" xr6:coauthVersionMax="47" xr10:uidLastSave="{00000000-0000-0000-0000-000000000000}"/>
  <bookViews>
    <workbookView xWindow="10140" yWindow="0" windowWidth="10455" windowHeight="10905" firstSheet="1" activeTab="1" xr2:uid="{53E7892A-483E-4DA7-83CF-13E5F54DA5FD}"/>
  </bookViews>
  <sheets>
    <sheet name="Modelos univariados" sheetId="1" r:id="rId1"/>
    <sheet name="Modelos biva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31" i="2"/>
  <c r="I31" i="2"/>
  <c r="K31" i="2"/>
  <c r="N31" i="2"/>
  <c r="O31" i="2"/>
  <c r="P31" i="2"/>
  <c r="Q31" i="2"/>
  <c r="D6" i="2"/>
  <c r="E6" i="2"/>
  <c r="I6" i="2"/>
  <c r="K6" i="2"/>
  <c r="N6" i="2"/>
  <c r="O6" i="2"/>
  <c r="P6" i="2"/>
  <c r="Q6" i="2"/>
  <c r="D8" i="2"/>
  <c r="D23" i="2"/>
  <c r="E23" i="2"/>
  <c r="I23" i="2"/>
  <c r="K23" i="2"/>
  <c r="N23" i="2"/>
  <c r="O23" i="2"/>
  <c r="P23" i="2"/>
  <c r="Q23" i="2"/>
  <c r="D29" i="2"/>
  <c r="E29" i="2"/>
  <c r="I29" i="2"/>
  <c r="K29" i="2"/>
  <c r="N29" i="2"/>
  <c r="O29" i="2"/>
  <c r="P29" i="2"/>
  <c r="Q29" i="2"/>
  <c r="D25" i="2"/>
  <c r="E25" i="2"/>
  <c r="I25" i="2"/>
  <c r="K25" i="2"/>
  <c r="N25" i="2"/>
  <c r="O25" i="2"/>
  <c r="P25" i="2"/>
  <c r="Q25" i="2"/>
  <c r="D26" i="2"/>
  <c r="Q14" i="2"/>
  <c r="Q18" i="2"/>
  <c r="Q20" i="2"/>
  <c r="Q9" i="2"/>
  <c r="Q16" i="2"/>
  <c r="Q8" i="2"/>
  <c r="Q7" i="2"/>
  <c r="Q11" i="2"/>
  <c r="Q10" i="2"/>
  <c r="Q12" i="2"/>
  <c r="Q15" i="2"/>
  <c r="Q19" i="2"/>
  <c r="Q17" i="2"/>
  <c r="Q13" i="2"/>
  <c r="Q30" i="2"/>
  <c r="Q33" i="2"/>
  <c r="Q28" i="2"/>
  <c r="Q37" i="2"/>
  <c r="Q24" i="2"/>
  <c r="Q5" i="2"/>
  <c r="Q22" i="2"/>
  <c r="Q34" i="2"/>
  <c r="Q35" i="2"/>
  <c r="Q32" i="2"/>
  <c r="Q36" i="2"/>
  <c r="Q40" i="2"/>
  <c r="Q38" i="2"/>
  <c r="Q42" i="2"/>
  <c r="Q39" i="2"/>
  <c r="Q27" i="2"/>
  <c r="Q4" i="2"/>
  <c r="Q26" i="2"/>
  <c r="Q41" i="2"/>
  <c r="P14" i="2"/>
  <c r="P18" i="2"/>
  <c r="P20" i="2"/>
  <c r="P9" i="2"/>
  <c r="P16" i="2"/>
  <c r="P8" i="2"/>
  <c r="P7" i="2"/>
  <c r="P11" i="2"/>
  <c r="P10" i="2"/>
  <c r="P12" i="2"/>
  <c r="P15" i="2"/>
  <c r="P19" i="2"/>
  <c r="P17" i="2"/>
  <c r="P13" i="2"/>
  <c r="P30" i="2"/>
  <c r="P33" i="2"/>
  <c r="P28" i="2"/>
  <c r="P37" i="2"/>
  <c r="P24" i="2"/>
  <c r="P5" i="2"/>
  <c r="P22" i="2"/>
  <c r="P34" i="2"/>
  <c r="P35" i="2"/>
  <c r="P32" i="2"/>
  <c r="P36" i="2"/>
  <c r="P40" i="2"/>
  <c r="P38" i="2"/>
  <c r="P42" i="2"/>
  <c r="P39" i="2"/>
  <c r="P27" i="2"/>
  <c r="P4" i="2"/>
  <c r="P26" i="2"/>
  <c r="P41" i="2"/>
  <c r="Q21" i="2"/>
  <c r="P21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5" i="2"/>
  <c r="N24" i="2"/>
  <c r="N4" i="2"/>
  <c r="N26" i="2"/>
  <c r="N27" i="2"/>
  <c r="N28" i="2"/>
  <c r="N30" i="2"/>
  <c r="N32" i="2"/>
  <c r="N33" i="2"/>
  <c r="N34" i="2"/>
  <c r="N35" i="2"/>
  <c r="N36" i="2"/>
  <c r="N37" i="2"/>
  <c r="N38" i="2"/>
  <c r="N39" i="2"/>
  <c r="N40" i="2"/>
  <c r="N41" i="2"/>
  <c r="N42" i="2"/>
  <c r="N7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5" i="2"/>
  <c r="O24" i="2"/>
  <c r="O4" i="2"/>
  <c r="O26" i="2"/>
  <c r="O27" i="2"/>
  <c r="O28" i="2"/>
  <c r="O30" i="2"/>
  <c r="O32" i="2"/>
  <c r="O33" i="2"/>
  <c r="O34" i="2"/>
  <c r="O35" i="2"/>
  <c r="O36" i="2"/>
  <c r="O37" i="2"/>
  <c r="O38" i="2"/>
  <c r="O39" i="2"/>
  <c r="O40" i="2"/>
  <c r="O41" i="2"/>
  <c r="O42" i="2"/>
  <c r="E7" i="2"/>
  <c r="D38" i="2"/>
  <c r="E38" i="2"/>
  <c r="I38" i="2"/>
  <c r="K38" i="2"/>
  <c r="D39" i="2"/>
  <c r="E39" i="2"/>
  <c r="I39" i="2"/>
  <c r="K39" i="2"/>
  <c r="D37" i="2"/>
  <c r="E37" i="2"/>
  <c r="I37" i="2"/>
  <c r="K37" i="2"/>
  <c r="D36" i="2"/>
  <c r="E36" i="2"/>
  <c r="I36" i="2"/>
  <c r="K36" i="2"/>
  <c r="D32" i="2"/>
  <c r="E32" i="2"/>
  <c r="I32" i="2"/>
  <c r="K32" i="2"/>
  <c r="D40" i="2"/>
  <c r="E40" i="2"/>
  <c r="I40" i="2"/>
  <c r="K40" i="2"/>
  <c r="D15" i="2"/>
  <c r="E15" i="2"/>
  <c r="I15" i="2"/>
  <c r="K15" i="2"/>
  <c r="D33" i="2"/>
  <c r="E33" i="2"/>
  <c r="I33" i="2"/>
  <c r="K33" i="2"/>
  <c r="D28" i="2"/>
  <c r="E28" i="2"/>
  <c r="I28" i="2"/>
  <c r="K28" i="2"/>
  <c r="D22" i="2"/>
  <c r="E22" i="2"/>
  <c r="I22" i="2"/>
  <c r="K22" i="2"/>
  <c r="D5" i="2"/>
  <c r="E5" i="2"/>
  <c r="I5" i="2"/>
  <c r="K5" i="2"/>
  <c r="D24" i="2"/>
  <c r="E24" i="2"/>
  <c r="I24" i="2"/>
  <c r="K24" i="2"/>
  <c r="D27" i="2"/>
  <c r="E27" i="2"/>
  <c r="I27" i="2"/>
  <c r="K27" i="2"/>
  <c r="D14" i="2"/>
  <c r="E14" i="2"/>
  <c r="I14" i="2"/>
  <c r="K14" i="2"/>
  <c r="D7" i="2"/>
  <c r="I7" i="2"/>
  <c r="K7" i="2"/>
  <c r="D9" i="2"/>
  <c r="E9" i="2"/>
  <c r="I9" i="2"/>
  <c r="K9" i="2"/>
  <c r="E8" i="2"/>
  <c r="I8" i="2"/>
  <c r="K8" i="2"/>
  <c r="I11" i="2"/>
  <c r="K11" i="2"/>
  <c r="E11" i="2"/>
  <c r="D11" i="2"/>
  <c r="D13" i="2"/>
  <c r="E13" i="2"/>
  <c r="I13" i="2"/>
  <c r="K13" i="2"/>
  <c r="D21" i="2"/>
  <c r="E21" i="2"/>
  <c r="I21" i="2"/>
  <c r="K21" i="2"/>
  <c r="D19" i="2"/>
  <c r="E19" i="2"/>
  <c r="I19" i="2"/>
  <c r="K19" i="2"/>
  <c r="D4" i="2"/>
  <c r="E4" i="2"/>
  <c r="I4" i="2"/>
  <c r="K4" i="2"/>
  <c r="D16" i="2"/>
  <c r="E16" i="2"/>
  <c r="I16" i="2"/>
  <c r="K16" i="2"/>
  <c r="E26" i="2"/>
  <c r="I26" i="2"/>
  <c r="K26" i="2"/>
  <c r="D12" i="2"/>
  <c r="E12" i="2"/>
  <c r="I12" i="2"/>
  <c r="K12" i="2"/>
  <c r="D10" i="2"/>
  <c r="E10" i="2"/>
  <c r="I10" i="2"/>
  <c r="K10" i="2"/>
  <c r="D34" i="2"/>
  <c r="E34" i="2"/>
  <c r="I34" i="2"/>
  <c r="K34" i="2"/>
  <c r="D41" i="2"/>
  <c r="E41" i="2"/>
  <c r="I41" i="2"/>
  <c r="K41" i="2"/>
  <c r="D30" i="2"/>
  <c r="E30" i="2"/>
  <c r="I30" i="2"/>
  <c r="K30" i="2"/>
  <c r="D17" i="2"/>
  <c r="E17" i="2"/>
  <c r="I17" i="2"/>
  <c r="K17" i="2"/>
  <c r="E18" i="2"/>
  <c r="D42" i="2"/>
  <c r="E42" i="2"/>
  <c r="I42" i="2"/>
  <c r="K42" i="2"/>
  <c r="K20" i="2"/>
  <c r="D35" i="2"/>
  <c r="D20" i="2"/>
  <c r="I35" i="2"/>
  <c r="I20" i="2"/>
  <c r="I18" i="2"/>
  <c r="D18" i="2"/>
  <c r="K18" i="2"/>
  <c r="E35" i="2"/>
  <c r="E20" i="2"/>
  <c r="K35" i="2"/>
</calcChain>
</file>

<file path=xl/sharedStrings.xml><?xml version="1.0" encoding="utf-8"?>
<sst xmlns="http://schemas.openxmlformats.org/spreadsheetml/2006/main" count="248" uniqueCount="102">
  <si>
    <t>Modelos univariados</t>
  </si>
  <si>
    <t>ID</t>
  </si>
  <si>
    <t>Política</t>
  </si>
  <si>
    <t>Covariáveis</t>
  </si>
  <si>
    <t>AIC</t>
  </si>
  <si>
    <t>AICc</t>
  </si>
  <si>
    <t>BIC</t>
  </si>
  <si>
    <t>maior VIF</t>
  </si>
  <si>
    <t>Modelos bivariados</t>
  </si>
  <si>
    <t>ID PNAB</t>
  </si>
  <si>
    <t>ID PSE</t>
  </si>
  <si>
    <t>theta</t>
  </si>
  <si>
    <t>PNAB</t>
  </si>
  <si>
    <t>-</t>
  </si>
  <si>
    <t>scale(log(PIB))</t>
  </si>
  <si>
    <t>scale(log(ORC_TOTAL_EMPENHADO))</t>
  </si>
  <si>
    <t>scale(log(PIB)) + scale(log(ORC_TOTAL_EMPENHADO))</t>
  </si>
  <si>
    <t>Troca sinal</t>
  </si>
  <si>
    <t>Não</t>
  </si>
  <si>
    <t>scale(log(PIB)) + scale(log(ORC_TOTAL_EMPENHADO)) + IDEOL_PRSD</t>
  </si>
  <si>
    <t>Covariáveis PNAB</t>
  </si>
  <si>
    <t>Covariáveis PSE</t>
  </si>
  <si>
    <t>scale(log(PIB)) + scale(log(ORC_TOTAL_EMPENHADO)) + IDEOL_PRSD + POP_PRSD</t>
  </si>
  <si>
    <t>POP_PRSD</t>
  </si>
  <si>
    <t>scale(log(PIB)) + scale(log(ORC_TOTAL_EMPENHADO)) + IDEOL_PRSD + POP_PRSD + TX_SUCESSO</t>
  </si>
  <si>
    <t>POP_PRSD, TX_SUCESSO</t>
  </si>
  <si>
    <t>scale(log(PIB)) + scale(log(ORC_TOTAL_EMPENHADO)) + IDEOL_PRSD + POP_PRSD + TX_SUCESSO + ANO_ELEITORAL_MUNIC</t>
  </si>
  <si>
    <t>scale(log(PIB)) + scale(log(ORC_TOTAL_EMPENHADO)) + IDEOL_PRSD + TX_SUCESSO</t>
  </si>
  <si>
    <t>TX_SUCESSO</t>
  </si>
  <si>
    <t>PSE</t>
  </si>
  <si>
    <t>scale(log(TX_VETO))</t>
  </si>
  <si>
    <t>scale(ORC_TOTAL_EMPENHADO)</t>
  </si>
  <si>
    <t>scale(TX_VETO)</t>
  </si>
  <si>
    <t>scale(log(PIB)) + scale(log(TX_VETO))</t>
  </si>
  <si>
    <t>scale(log(PIB)) + scale(TX_VETO) + CARREIRAS</t>
  </si>
  <si>
    <t>scale(log(PIB)) + scale(TX_VETO) + CARREIRAS + log(DISCR_DOTACAO)</t>
  </si>
  <si>
    <t>scale(PIB) + scale(TX_VETO) + CARREIRAS + log(DISCR_DOTACAO)</t>
  </si>
  <si>
    <t>log(PIB)</t>
  </si>
  <si>
    <t>scale(PIB) + scale(TX_VETO) + CARREIRAS + log(DISCR_DOTACAO) + ANO_ELEIRORAL_NAC</t>
  </si>
  <si>
    <t>scale(PIB) + scale(log(ORC_TOTAL_EMPENHADO))</t>
  </si>
  <si>
    <t>scale(PIB) + scale(ORC_TOTAL_EMPENHADO)</t>
  </si>
  <si>
    <t>scale(PIB) + scale(ORC_TOTAL_EMPENHADO) + IDEOL_PRSD</t>
  </si>
  <si>
    <t>scale(PIB)</t>
  </si>
  <si>
    <t>scale(log(PIB)) + scale(ORC_TOTAL_EMPENHADO) + IDEOL_PRSD</t>
  </si>
  <si>
    <t>scale(log(PIB)) + scale(ORC_TOTAL_EMPENHADO) + scale(TX_PROP_MNST)</t>
  </si>
  <si>
    <t>scale(log(PIB)) + scale(ORC_TOTAL_EMPENHADO) + scale(TX_PROP_MNST) + scale(log(TX_SUCESSO)</t>
  </si>
  <si>
    <t>scale(log(PIB)) + scale(ORC_TOTAL_EMPENHADO) + scale(TX_PROP_MNST) + scale(log(TX_SUCESSO) + scale(DISCR_TX)</t>
  </si>
  <si>
    <t>scale(log(PIB)) + scale(TX_VETO) + CARREIRAS + log(DISCR_DOTACAO) + scale(log(DISCR_TX))</t>
  </si>
  <si>
    <t>log(PIB), scale(log(DISCR_TX))</t>
  </si>
  <si>
    <t>scale(log(PIB)) + scale(TX_VETO) + scale(log(ORC_TOTAL_EMPENHADO))</t>
  </si>
  <si>
    <t>scale(log(PIB)) + scale(TX_VETO) + scale(log(ORC_TOTAL_EMPENHADO)) + scale(POP_PRSD) + scale(DISCR_TX) + ANO_ELEITORAL_NAC</t>
  </si>
  <si>
    <t>scale(POP_PRSD), ANO_ELEITORAL_NAC</t>
  </si>
  <si>
    <t>scale(log(PIB)) + scale(TX_VETO) + scale(log(ORC_TOTAL_EMPENHADO)) + scale(POP_PRSD) + scale(log(DISCR_TX)) + ANO_ELEITORAL_NAC</t>
  </si>
  <si>
    <t>scale(log(PIB)) + scale(log(ORC_TOTAL_EMPENHADO)) + scale(log(DISCR_TX)) + scale(log(SERVIDORES))</t>
  </si>
  <si>
    <t>log(SERVIDORES)</t>
  </si>
  <si>
    <t>scale(log(PIB)) + scale(log(ORC_TOTAL_EMPENHADO)) + scale(DISCR_TX)</t>
  </si>
  <si>
    <t>scale(log(PIB)) + scale(log(ORC_TOTAL_EMPENHADO)) + IDEOL_PRSD + scale(log(SERVIDORES))</t>
  </si>
  <si>
    <t>scale(log(PIB)) + scale(log(ORC_TOTAL_EMPENHADO)) + scale(DISCR_TX) + scale(log(SERVIDORES))</t>
  </si>
  <si>
    <t>scale(log(PIB)) + scale(log(ORC_TOTAL_EMPENHADO)) +  scale(log(DISCR_TX)) + scale(log(SERVIDORES)) + ANO_ELEITORAL_MUNIC</t>
  </si>
  <si>
    <t>tau</t>
  </si>
  <si>
    <t>As funções batem?</t>
  </si>
  <si>
    <t>Sim</t>
  </si>
  <si>
    <t>?</t>
  </si>
  <si>
    <t>Quase</t>
  </si>
  <si>
    <t>scale(log(PIB)) + scale(ORC_TOTAL_EMPENHADO) + scale(log(TX_SUCESSO)) + scale(DISCR_TX) + scale(log(INDICE_MNST))</t>
  </si>
  <si>
    <t>scale(PIB) + scale(ORC_TOTAL_EMPENHADO) + scale(log(TX_SUCESSO)) + scale(DISCR_TX) + scale(log(INDICE_MNST))</t>
  </si>
  <si>
    <t>scale(PIB) + scale(TX_VETO) + scale(log(DISCR_DOTACAO))</t>
  </si>
  <si>
    <t>scale(log(PIB)) + scale(TX_VETO) + scale(log(DISCR_DOTACAO))</t>
  </si>
  <si>
    <t>scale(PIB) + scale(ORC_TOTAL_EMPENHADO) + scale(INDICE_MNST)</t>
  </si>
  <si>
    <t>scale(PIB) + scale(log(ORC_TOTAL_EMPENHADO)) + scale(INDICE_MNST)</t>
  </si>
  <si>
    <t>scale(log(SERVIDORES))</t>
  </si>
  <si>
    <t>scale(log(PIB)) + scale(ORC_TOTAL_EMPENHADO) + scale(log(TX_SUCESSO)) + scale(log(DISCR_TX)) + scale(log(INDICE_MNST))</t>
  </si>
  <si>
    <t xml:space="preserve">scale(log(PIB)) </t>
  </si>
  <si>
    <t>scale(log(PIB)) + scale(log(ORC_TOTAL_EMPENHADO)) + scale(log(DISCR_TX)) + scale(SERVIDORES)</t>
  </si>
  <si>
    <t>scale(SERVIDORES)</t>
  </si>
  <si>
    <t>scale(log(PIB)) + scale(log(TX_VETO)) + scale(log(DISCR_DOTACAO))</t>
  </si>
  <si>
    <t>scale(log(PIB)) + scale(log(ORC_TOTAL_EMPENHADO)) + scale(log(DISCR_TX))</t>
  </si>
  <si>
    <t>scale(log(PIB)) + scale(TX_VETO) + scale(DISCR_TX)</t>
  </si>
  <si>
    <t>scale(log(PIB)) + scale(TX_VETO) + scale(log(DISCR_TX))</t>
  </si>
  <si>
    <t>log(DISCR_TX)</t>
  </si>
  <si>
    <t>scale(log(PIB)) + scale(log(ORC_TOTAL_EMPENHADO)) + scale(log(DISCR_DOTACAO))</t>
  </si>
  <si>
    <t>scale(log(PIB)) + scale(TX_VETO)</t>
  </si>
  <si>
    <t>scale(log(PIB)) + scale(log(ORC_TOTAL_EMPENHADO)) + scale(log(TX_SUCESSO)) + scale(log(DISCR_TX)) + scale(log(INDICE_MNST))</t>
  </si>
  <si>
    <t>scale(DISCR_EMPENHADO)</t>
  </si>
  <si>
    <t>scale(log(DISCR_EMPENHADO))</t>
  </si>
  <si>
    <t>scale(TX_PROP_MNST)</t>
  </si>
  <si>
    <t>scale(log(PIB)) + scale(log(DISCR_EMPENHADO))</t>
  </si>
  <si>
    <t>scale(log(PIB)) + scale(TX_PROP_MNST)</t>
  </si>
  <si>
    <t>qtd_covs</t>
  </si>
  <si>
    <t>BIC PNAB</t>
  </si>
  <si>
    <t>BIC PSE</t>
  </si>
  <si>
    <t>troca PNAB</t>
  </si>
  <si>
    <t>troca PSE</t>
  </si>
  <si>
    <t>scale(log(PIB)) + scale(log(ORC_TOTAL_EMPENHADO)) + scale(log(TAM_PROP_BASE))</t>
  </si>
  <si>
    <t>scale(log(PIB)) + scale(TX_VETO) + scale(IDEOL_PRSD)</t>
  </si>
  <si>
    <t>scale(DISCR_TX)</t>
  </si>
  <si>
    <t>descarte</t>
  </si>
  <si>
    <t>label</t>
  </si>
  <si>
    <t>Modelo 1</t>
  </si>
  <si>
    <t>Modelo 4</t>
  </si>
  <si>
    <t>Modelo 2</t>
  </si>
  <si>
    <t>Modelo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</si>
</sst>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33E8C7-B4BB-46D6-888C-883F3F3770B5}" name="Tabela3" displayName="Tabela3" ref="B3:I70" totalsRowShown="0">
  <autoFilter ref="B3:I70" xr:uid="{7733E8C7-B4BB-46D6-888C-883F3F3770B5}"/>
  <sortState xmlns:xlrd2="http://schemas.microsoft.com/office/spreadsheetml/2017/richdata2" ref="B4:I70">
    <sortCondition ref="B3:B70"/>
  </sortState>
  <tableColumns count="8">
    <tableColumn id="1" xr3:uid="{FAD1ACFB-AA33-4546-83FE-89C42AD75272}" name="ID"/>
    <tableColumn id="2" xr3:uid="{783003C0-1FCF-4784-B6BC-8CB7E4BB9FFE}" name="Política"/>
    <tableColumn id="3" xr3:uid="{51440569-A76E-4910-B325-478645D7F30B}" name="Covariáveis" dataDxfId="13"/>
    <tableColumn id="4" xr3:uid="{EB94C2C6-917E-4244-830E-C8F73670AB98}" name="AIC" dataDxfId="12"/>
    <tableColumn id="5" xr3:uid="{1C4A75B9-6F45-42F8-BDA2-BF6027C85A17}" name="AICc" dataDxfId="11"/>
    <tableColumn id="6" xr3:uid="{33200986-576C-465C-AD78-F3367484FDB8}" name="BIC" dataDxfId="10"/>
    <tableColumn id="7" xr3:uid="{5AAE4940-91E3-4150-8CA8-50A73AE29A2D}" name="maior VIF"/>
    <tableColumn id="8" xr3:uid="{13A819AD-317B-4324-B1F2-F69F9CA21CE5}" name="Troca sinal" dataDxfId="9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D43398-9F1A-42AA-862D-E56FA63A6175}" name="Tabela4" displayName="Tabela4" ref="B3:R42" totalsRowShown="0">
  <autoFilter ref="B3:R42" xr:uid="{C7D43398-9F1A-42AA-862D-E56FA63A6175}"/>
  <sortState xmlns:xlrd2="http://schemas.microsoft.com/office/spreadsheetml/2017/richdata2" ref="B4:R42">
    <sortCondition ref="R3:R42"/>
  </sortState>
  <tableColumns count="17">
    <tableColumn id="1" xr3:uid="{EFA384D2-1AE1-49AD-ACFE-BA4F79D11B4E}" name="ID PNAB"/>
    <tableColumn id="2" xr3:uid="{81E52CB9-8ED3-4AC2-ACA6-5ECF568138BB}" name="ID PSE"/>
    <tableColumn id="3" xr3:uid="{1CF36F38-2F9D-4359-A86D-16D362867C3A}" name="Covariáveis PNAB" dataDxfId="8">
      <calculatedColumnFormula>VLOOKUP(Tabela4[[#This Row],[ID PNAB]],Tabela3[],3,FALSE)</calculatedColumnFormula>
    </tableColumn>
    <tableColumn id="4" xr3:uid="{6B09D095-9DD9-405A-A9C2-ED213CC03B61}" name="Covariáveis PSE" dataDxfId="7">
      <calculatedColumnFormula>VLOOKUP(Tabela4[[#This Row],[ID PSE]],Tabela3[],3,FALSE)</calculatedColumnFormula>
    </tableColumn>
    <tableColumn id="5" xr3:uid="{E74335C2-4B66-4C45-BA31-4D0DF4AFDD9F}" name="AIC"/>
    <tableColumn id="6" xr3:uid="{CAADA921-AC1C-4002-B3DB-C03AE9DB3E18}" name="AICc"/>
    <tableColumn id="7" xr3:uid="{A39DAF2B-FF42-41BB-B367-F64A9D18195A}" name="BIC"/>
    <tableColumn id="8" xr3:uid="{72CA92A5-6028-4C0F-B121-90590E1671C8}" name="maior VIF" dataDxfId="6">
      <calculatedColumnFormula>MAX(VLOOKUP(Tabela4[[#This Row],[ID PNAB]],Tabela3[],7,FALSE),VLOOKUP(Tabela4[[#This Row],[ID PSE]],Tabela3[],7,FALSE))</calculatedColumnFormula>
    </tableColumn>
    <tableColumn id="9" xr3:uid="{A13DA3E0-49FD-4228-A6A6-622424F09D7A}" name="theta"/>
    <tableColumn id="10" xr3:uid="{17EBED8B-2DA8-4744-8EFC-480827C2D3C5}" name="tau" dataDxfId="5">
      <calculatedColumnFormula>Tabela4[[#This Row],[theta]]/(Tabela4[[#This Row],[theta]]+2)</calculatedColumnFormula>
    </tableColumn>
    <tableColumn id="11" xr3:uid="{E82CED07-58A2-46D6-8A2E-9926889CBF93}" name="As funções batem?"/>
    <tableColumn id="12" xr3:uid="{7F8E5413-C120-46BA-BE2A-3548C3E931DD}" name="qtd_covs"/>
    <tableColumn id="13" xr3:uid="{37C1D5DE-5801-423B-AF79-13D1CC75980C}" name="BIC PNAB" dataDxfId="4">
      <calculatedColumnFormula>VLOOKUP(Tabela4[[#This Row],[ID PNAB]],Tabela3[],6,FALSE)</calculatedColumnFormula>
    </tableColumn>
    <tableColumn id="14" xr3:uid="{AD4311D8-C1F8-4DAA-9EFB-866CF55A4793}" name="BIC PSE" dataDxfId="3">
      <calculatedColumnFormula>VLOOKUP(Tabela4[[#This Row],[ID PSE]],Tabela3[],6,FALSE)</calculatedColumnFormula>
    </tableColumn>
    <tableColumn id="15" xr3:uid="{FBF7F238-76AA-4921-8252-ACFC22E44539}" name="troca PNAB" dataDxfId="2">
      <calculatedColumnFormula>VLOOKUP(Tabela4[[#This Row],[ID PNAB]],Tabela3[],8,FALSE)</calculatedColumnFormula>
    </tableColumn>
    <tableColumn id="16" xr3:uid="{E75BAD1F-AE7F-4F3E-ACB1-520C08C7CA90}" name="troca PSE" dataDxfId="1">
      <calculatedColumnFormula>VLOOKUP(Tabela4[[#This Row],[ID PSE]],Tabela3[],8,FALSE)</calculatedColumnFormula>
    </tableColumn>
    <tableColumn id="17" xr3:uid="{5CE7A8E4-4CC8-4967-93E3-7C97A1B54800}" name="label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41A1-F76D-4C02-B5A2-AC6EBDE31F2A}">
  <dimension ref="B2:I70"/>
  <sheetViews>
    <sheetView topLeftCell="A12" zoomScale="88" workbookViewId="0">
      <selection activeCell="D19" sqref="D19"/>
    </sheetView>
  </sheetViews>
  <sheetFormatPr defaultRowHeight="15" x14ac:dyDescent="0.25"/>
  <cols>
    <col min="2" max="2" width="5.140625" customWidth="1"/>
    <col min="3" max="3" width="9.85546875" customWidth="1"/>
    <col min="4" max="4" width="37.140625" customWidth="1"/>
    <col min="5" max="5" width="9.5703125" bestFit="1" customWidth="1"/>
    <col min="6" max="6" width="14.140625" bestFit="1" customWidth="1"/>
    <col min="7" max="7" width="9.5703125" bestFit="1" customWidth="1"/>
    <col min="8" max="8" width="11.5703125" customWidth="1"/>
    <col min="9" max="9" width="23.28515625" customWidth="1"/>
    <col min="11" max="11" width="10.28515625" customWidth="1"/>
    <col min="13" max="13" width="19.28515625" bestFit="1" customWidth="1"/>
    <col min="14" max="14" width="17.85546875" bestFit="1" customWidth="1"/>
    <col min="16" max="16" width="11.5703125" customWidth="1"/>
  </cols>
  <sheetData>
    <row r="2" spans="2:9" ht="18.75" x14ac:dyDescent="0.3">
      <c r="B2" s="4" t="s">
        <v>0</v>
      </c>
      <c r="C2" s="5"/>
      <c r="D2" s="5"/>
      <c r="E2" s="5"/>
      <c r="F2" s="5"/>
      <c r="G2" s="5"/>
      <c r="H2" s="5"/>
      <c r="I2" s="5"/>
    </row>
    <row r="3" spans="2:9" x14ac:dyDescent="0.25">
      <c r="B3" t="s">
        <v>1</v>
      </c>
      <c r="C3" t="s">
        <v>2</v>
      </c>
      <c r="D3" t="s">
        <v>3</v>
      </c>
      <c r="E3" t="s">
        <v>4</v>
      </c>
      <c r="F3" s="3" t="s">
        <v>5</v>
      </c>
      <c r="G3" s="3" t="s">
        <v>6</v>
      </c>
      <c r="H3" t="s">
        <v>7</v>
      </c>
      <c r="I3" t="s">
        <v>17</v>
      </c>
    </row>
    <row r="4" spans="2:9" x14ac:dyDescent="0.25">
      <c r="B4">
        <v>1</v>
      </c>
      <c r="C4" t="s">
        <v>12</v>
      </c>
      <c r="D4" s="2" t="s">
        <v>13</v>
      </c>
      <c r="E4" s="1">
        <v>4846.4480000000003</v>
      </c>
      <c r="F4" s="3">
        <v>4846.4859999999999</v>
      </c>
      <c r="G4" s="3">
        <v>4853.9719999999998</v>
      </c>
      <c r="H4">
        <v>0</v>
      </c>
      <c r="I4" s="2" t="s">
        <v>13</v>
      </c>
    </row>
    <row r="5" spans="2:9" x14ac:dyDescent="0.25">
      <c r="B5">
        <v>2</v>
      </c>
      <c r="C5" t="s">
        <v>12</v>
      </c>
      <c r="D5" s="2" t="s">
        <v>15</v>
      </c>
      <c r="E5" s="3">
        <v>4268.8310000000001</v>
      </c>
      <c r="F5" s="3">
        <v>4268.9070000000002</v>
      </c>
      <c r="G5" s="3">
        <v>4280.1170000000002</v>
      </c>
      <c r="H5">
        <v>0</v>
      </c>
      <c r="I5" s="2" t="s">
        <v>13</v>
      </c>
    </row>
    <row r="6" spans="2:9" x14ac:dyDescent="0.25">
      <c r="B6">
        <v>3</v>
      </c>
      <c r="C6" t="s">
        <v>12</v>
      </c>
      <c r="D6" s="2" t="s">
        <v>14</v>
      </c>
      <c r="E6" s="3">
        <v>4707.402</v>
      </c>
      <c r="F6" s="3">
        <v>4707.4790000000003</v>
      </c>
      <c r="G6" s="3">
        <v>4718.6880000000001</v>
      </c>
      <c r="H6">
        <v>0</v>
      </c>
      <c r="I6" s="2" t="s">
        <v>13</v>
      </c>
    </row>
    <row r="7" spans="2:9" ht="30" x14ac:dyDescent="0.25">
      <c r="B7">
        <v>4</v>
      </c>
      <c r="C7" t="s">
        <v>12</v>
      </c>
      <c r="D7" s="2" t="s">
        <v>16</v>
      </c>
      <c r="E7" s="3">
        <v>4269.4319999999998</v>
      </c>
      <c r="F7" s="3">
        <v>4269.5600000000004</v>
      </c>
      <c r="G7" s="3">
        <v>4284.4799999999996</v>
      </c>
      <c r="H7">
        <v>1.67</v>
      </c>
      <c r="I7" s="2" t="s">
        <v>13</v>
      </c>
    </row>
    <row r="8" spans="2:9" ht="75" x14ac:dyDescent="0.25">
      <c r="B8">
        <v>5</v>
      </c>
      <c r="C8" t="s">
        <v>12</v>
      </c>
      <c r="D8" s="2" t="s">
        <v>58</v>
      </c>
      <c r="E8" s="3">
        <v>4132.45</v>
      </c>
      <c r="F8" s="3">
        <v>4132.8109999999997</v>
      </c>
      <c r="G8" s="3">
        <v>4158.7839999999997</v>
      </c>
      <c r="H8">
        <v>7.33</v>
      </c>
      <c r="I8" s="2" t="s">
        <v>54</v>
      </c>
    </row>
    <row r="9" spans="2:9" ht="45" x14ac:dyDescent="0.25">
      <c r="B9">
        <v>6</v>
      </c>
      <c r="C9" t="s">
        <v>12</v>
      </c>
      <c r="D9" s="2" t="s">
        <v>19</v>
      </c>
      <c r="E9" s="3">
        <v>4178.2049999999999</v>
      </c>
      <c r="F9" s="3">
        <v>4178.3969999999999</v>
      </c>
      <c r="G9" s="3">
        <v>4197.0150000000003</v>
      </c>
      <c r="H9">
        <v>2.14</v>
      </c>
      <c r="I9" s="2" t="s">
        <v>13</v>
      </c>
    </row>
    <row r="10" spans="2:9" ht="45" x14ac:dyDescent="0.25">
      <c r="B10">
        <v>7</v>
      </c>
      <c r="C10" t="s">
        <v>12</v>
      </c>
      <c r="D10" s="2" t="s">
        <v>22</v>
      </c>
      <c r="E10" s="3">
        <v>4166.1409999999996</v>
      </c>
      <c r="F10" s="3">
        <v>4166.4110000000001</v>
      </c>
      <c r="G10" s="3">
        <v>4188.7129999999997</v>
      </c>
      <c r="H10">
        <v>2.38</v>
      </c>
      <c r="I10" s="2" t="s">
        <v>23</v>
      </c>
    </row>
    <row r="11" spans="2:9" ht="45" x14ac:dyDescent="0.25">
      <c r="B11">
        <v>8</v>
      </c>
      <c r="C11" t="s">
        <v>12</v>
      </c>
      <c r="D11" s="2" t="s">
        <v>24</v>
      </c>
      <c r="E11" s="3">
        <v>4155.3829999999998</v>
      </c>
      <c r="F11" s="3">
        <v>4155.7439999999997</v>
      </c>
      <c r="G11" s="3">
        <v>4181.7169999999996</v>
      </c>
      <c r="H11">
        <v>2.4</v>
      </c>
      <c r="I11" s="2" t="s">
        <v>25</v>
      </c>
    </row>
    <row r="12" spans="2:9" ht="60" x14ac:dyDescent="0.25">
      <c r="B12">
        <v>9</v>
      </c>
      <c r="C12" t="s">
        <v>12</v>
      </c>
      <c r="D12" s="2" t="s">
        <v>26</v>
      </c>
      <c r="E12" s="3">
        <v>4148.0290000000005</v>
      </c>
      <c r="F12" s="3">
        <v>4148.4949999999999</v>
      </c>
      <c r="G12" s="3">
        <v>4178.125</v>
      </c>
      <c r="H12">
        <v>3.8</v>
      </c>
      <c r="I12" s="2" t="s">
        <v>25</v>
      </c>
    </row>
    <row r="13" spans="2:9" ht="45" x14ac:dyDescent="0.25">
      <c r="B13">
        <v>10</v>
      </c>
      <c r="C13" t="s">
        <v>12</v>
      </c>
      <c r="D13" s="2" t="s">
        <v>56</v>
      </c>
      <c r="E13" s="3">
        <v>4140.4679999999998</v>
      </c>
      <c r="F13" s="3">
        <v>4140.7380000000003</v>
      </c>
      <c r="G13" s="3">
        <v>4163.04</v>
      </c>
      <c r="H13">
        <v>6.13</v>
      </c>
      <c r="I13" s="2" t="s">
        <v>54</v>
      </c>
    </row>
    <row r="14" spans="2:9" ht="45" x14ac:dyDescent="0.25">
      <c r="B14">
        <v>11</v>
      </c>
      <c r="C14" t="s">
        <v>12</v>
      </c>
      <c r="D14" s="2" t="s">
        <v>27</v>
      </c>
      <c r="E14" s="3">
        <v>4169.4750000000004</v>
      </c>
      <c r="F14" s="3">
        <v>4169.7449999999999</v>
      </c>
      <c r="G14" s="3">
        <v>4192.0479999999998</v>
      </c>
      <c r="H14">
        <v>2.2000000000000002</v>
      </c>
      <c r="I14" s="2" t="s">
        <v>28</v>
      </c>
    </row>
    <row r="15" spans="2:9" ht="45" x14ac:dyDescent="0.25">
      <c r="B15">
        <v>12</v>
      </c>
      <c r="C15" t="s">
        <v>12</v>
      </c>
      <c r="D15" s="2" t="s">
        <v>55</v>
      </c>
      <c r="E15" s="3">
        <v>4175.8919999999998</v>
      </c>
      <c r="F15" s="3">
        <v>4176.0839999999998</v>
      </c>
      <c r="G15" s="3">
        <v>4194.7020000000002</v>
      </c>
      <c r="H15">
        <v>1.68</v>
      </c>
      <c r="I15" s="2" t="s">
        <v>13</v>
      </c>
    </row>
    <row r="16" spans="2:9" ht="60" x14ac:dyDescent="0.25">
      <c r="B16">
        <v>13</v>
      </c>
      <c r="C16" t="s">
        <v>12</v>
      </c>
      <c r="D16" s="2" t="s">
        <v>57</v>
      </c>
      <c r="E16" s="3">
        <v>4135.16</v>
      </c>
      <c r="F16" s="3">
        <v>4135.4309999999996</v>
      </c>
      <c r="G16" s="3">
        <v>4157.7330000000002</v>
      </c>
      <c r="H16">
        <v>5.89</v>
      </c>
      <c r="I16" s="2" t="s">
        <v>54</v>
      </c>
    </row>
    <row r="17" spans="2:9" ht="60" x14ac:dyDescent="0.25">
      <c r="B17">
        <v>14</v>
      </c>
      <c r="C17" t="s">
        <v>12</v>
      </c>
      <c r="D17" s="2" t="s">
        <v>53</v>
      </c>
      <c r="E17" s="3">
        <v>4135.2349999999997</v>
      </c>
      <c r="F17" s="3">
        <v>4135.5050000000001</v>
      </c>
      <c r="G17" s="3">
        <v>4157.8069999999998</v>
      </c>
      <c r="H17">
        <v>5.92</v>
      </c>
      <c r="I17" s="2" t="s">
        <v>54</v>
      </c>
    </row>
    <row r="18" spans="2:9" ht="30" x14ac:dyDescent="0.25">
      <c r="B18">
        <v>15</v>
      </c>
      <c r="C18" t="s">
        <v>12</v>
      </c>
      <c r="D18" s="2" t="s">
        <v>49</v>
      </c>
      <c r="E18" s="3">
        <v>4212.4849999999997</v>
      </c>
      <c r="F18" s="3">
        <v>4212.6769999999997</v>
      </c>
      <c r="G18" s="3">
        <v>4321.2950000000001</v>
      </c>
      <c r="H18">
        <v>2.0099999999999998</v>
      </c>
      <c r="I18" s="2" t="s">
        <v>13</v>
      </c>
    </row>
    <row r="19" spans="2:9" ht="60" x14ac:dyDescent="0.25">
      <c r="B19">
        <v>16</v>
      </c>
      <c r="C19" t="s">
        <v>12</v>
      </c>
      <c r="D19" s="2" t="s">
        <v>50</v>
      </c>
      <c r="E19" s="3">
        <v>4146.3329999999996</v>
      </c>
      <c r="F19" s="3">
        <v>4146.799</v>
      </c>
      <c r="G19" s="3">
        <v>4176.43</v>
      </c>
      <c r="H19">
        <v>3.69</v>
      </c>
      <c r="I19" s="2" t="s">
        <v>51</v>
      </c>
    </row>
    <row r="20" spans="2:9" ht="75" x14ac:dyDescent="0.25">
      <c r="B20">
        <v>17</v>
      </c>
      <c r="C20" t="s">
        <v>12</v>
      </c>
      <c r="D20" s="2" t="s">
        <v>52</v>
      </c>
      <c r="E20" s="3">
        <v>4146.9110000000001</v>
      </c>
      <c r="F20" s="3">
        <v>4147.3770000000004</v>
      </c>
      <c r="G20" s="3">
        <v>4177.0079999999998</v>
      </c>
      <c r="H20">
        <v>3.65</v>
      </c>
      <c r="I20" s="2" t="s">
        <v>51</v>
      </c>
    </row>
    <row r="21" spans="2:9" x14ac:dyDescent="0.25">
      <c r="B21">
        <v>18</v>
      </c>
      <c r="C21" t="s">
        <v>29</v>
      </c>
      <c r="D21" s="2" t="s">
        <v>13</v>
      </c>
      <c r="E21" s="3">
        <v>4988.6670000000004</v>
      </c>
      <c r="F21" s="3">
        <v>4988.7049999999999</v>
      </c>
      <c r="G21" s="3">
        <v>4996.1909999999998</v>
      </c>
      <c r="H21">
        <v>0</v>
      </c>
      <c r="I21" s="2" t="s">
        <v>13</v>
      </c>
    </row>
    <row r="22" spans="2:9" x14ac:dyDescent="0.25">
      <c r="B22">
        <v>19</v>
      </c>
      <c r="C22" t="s">
        <v>29</v>
      </c>
      <c r="D22" s="2" t="s">
        <v>15</v>
      </c>
      <c r="E22" s="3">
        <v>4283.3270000000002</v>
      </c>
      <c r="F22" s="3">
        <v>4283.4030000000002</v>
      </c>
      <c r="G22" s="3">
        <v>4294.6130000000003</v>
      </c>
      <c r="H22">
        <v>0</v>
      </c>
      <c r="I22" s="2" t="s">
        <v>13</v>
      </c>
    </row>
    <row r="23" spans="2:9" x14ac:dyDescent="0.25">
      <c r="B23">
        <v>20</v>
      </c>
      <c r="C23" t="s">
        <v>29</v>
      </c>
      <c r="D23" s="2" t="s">
        <v>14</v>
      </c>
      <c r="E23" s="3">
        <v>4915.1000000000004</v>
      </c>
      <c r="F23" s="3">
        <v>4915.1769999999997</v>
      </c>
      <c r="G23" s="3">
        <v>4926.3869999999997</v>
      </c>
      <c r="H23">
        <v>0</v>
      </c>
      <c r="I23" s="2" t="s">
        <v>13</v>
      </c>
    </row>
    <row r="24" spans="2:9" ht="30" x14ac:dyDescent="0.25">
      <c r="B24">
        <v>21</v>
      </c>
      <c r="C24" t="s">
        <v>29</v>
      </c>
      <c r="D24" s="2" t="s">
        <v>16</v>
      </c>
      <c r="E24" s="3">
        <v>4283.2250000000004</v>
      </c>
      <c r="F24" s="3">
        <v>4283.3530000000001</v>
      </c>
      <c r="G24" s="3">
        <v>4298.2740000000003</v>
      </c>
      <c r="H24">
        <v>1.56</v>
      </c>
      <c r="I24" s="2" t="s">
        <v>13</v>
      </c>
    </row>
    <row r="25" spans="2:9" x14ac:dyDescent="0.25">
      <c r="B25">
        <v>22</v>
      </c>
      <c r="C25" t="s">
        <v>29</v>
      </c>
      <c r="D25" s="2" t="s">
        <v>33</v>
      </c>
      <c r="E25" s="3">
        <v>4151.7569999999996</v>
      </c>
      <c r="F25" s="3">
        <v>4151.8850000000002</v>
      </c>
      <c r="G25" s="3">
        <v>4166.8059999999996</v>
      </c>
      <c r="H25">
        <v>1.55</v>
      </c>
      <c r="I25" s="2" t="s">
        <v>13</v>
      </c>
    </row>
    <row r="26" spans="2:9" ht="45" x14ac:dyDescent="0.25">
      <c r="B26">
        <v>23</v>
      </c>
      <c r="C26" t="s">
        <v>29</v>
      </c>
      <c r="D26" s="2" t="s">
        <v>43</v>
      </c>
      <c r="E26" s="3">
        <v>4019.3049999999998</v>
      </c>
      <c r="F26" s="3">
        <v>4019.4969999999998</v>
      </c>
      <c r="G26" s="3">
        <v>4038.1149999999998</v>
      </c>
      <c r="H26">
        <v>1.91</v>
      </c>
      <c r="I26" s="2" t="s">
        <v>14</v>
      </c>
    </row>
    <row r="27" spans="2:9" ht="75" x14ac:dyDescent="0.25">
      <c r="B27">
        <v>24</v>
      </c>
      <c r="C27" t="s">
        <v>29</v>
      </c>
      <c r="D27" s="2" t="s">
        <v>64</v>
      </c>
      <c r="E27" s="3">
        <v>3418.1729999999998</v>
      </c>
      <c r="F27" s="3">
        <v>3418.5349999999999</v>
      </c>
      <c r="G27" s="3">
        <v>3444.5079999999998</v>
      </c>
      <c r="H27">
        <v>4.13</v>
      </c>
      <c r="I27" s="2" t="s">
        <v>14</v>
      </c>
    </row>
    <row r="28" spans="2:9" ht="45" x14ac:dyDescent="0.25">
      <c r="B28">
        <v>25</v>
      </c>
      <c r="C28" t="s">
        <v>29</v>
      </c>
      <c r="D28" s="2" t="s">
        <v>44</v>
      </c>
      <c r="E28" s="3">
        <v>3917.1039999999998</v>
      </c>
      <c r="F28" s="3">
        <v>3917.2959999999998</v>
      </c>
      <c r="G28" s="3">
        <v>3935.9140000000002</v>
      </c>
      <c r="H28">
        <v>2.0299999999999998</v>
      </c>
      <c r="I28" s="2" t="s">
        <v>14</v>
      </c>
    </row>
    <row r="29" spans="2:9" ht="60" x14ac:dyDescent="0.25">
      <c r="B29">
        <v>26</v>
      </c>
      <c r="C29" t="s">
        <v>29</v>
      </c>
      <c r="D29" s="2" t="s">
        <v>45</v>
      </c>
      <c r="E29" s="3">
        <v>3907.203</v>
      </c>
      <c r="F29" s="3">
        <v>3907.473</v>
      </c>
      <c r="G29" s="3">
        <v>3929.7750000000001</v>
      </c>
      <c r="H29">
        <v>1.88</v>
      </c>
      <c r="I29" s="2" t="s">
        <v>14</v>
      </c>
    </row>
    <row r="30" spans="2:9" ht="75" x14ac:dyDescent="0.25">
      <c r="B30">
        <v>27</v>
      </c>
      <c r="C30" t="s">
        <v>29</v>
      </c>
      <c r="D30" s="2" t="s">
        <v>46</v>
      </c>
      <c r="E30" s="3">
        <v>3665.5349999999999</v>
      </c>
      <c r="F30" s="3">
        <v>3665.8960000000002</v>
      </c>
      <c r="G30" s="3">
        <v>3691.8690000000001</v>
      </c>
      <c r="H30">
        <v>2.33</v>
      </c>
      <c r="I30" s="2" t="s">
        <v>14</v>
      </c>
    </row>
    <row r="31" spans="2:9" ht="30" x14ac:dyDescent="0.25">
      <c r="B31">
        <v>28</v>
      </c>
      <c r="C31" t="s">
        <v>29</v>
      </c>
      <c r="D31" s="2" t="s">
        <v>34</v>
      </c>
      <c r="E31" s="3">
        <v>3795.5920000000001</v>
      </c>
      <c r="F31" s="3">
        <v>3795.7840000000001</v>
      </c>
      <c r="G31" s="3">
        <v>3814.402</v>
      </c>
      <c r="H31">
        <v>2.5299999999999998</v>
      </c>
      <c r="I31" s="2" t="s">
        <v>13</v>
      </c>
    </row>
    <row r="32" spans="2:9" ht="30" x14ac:dyDescent="0.25">
      <c r="B32">
        <v>29</v>
      </c>
      <c r="C32" t="s">
        <v>29</v>
      </c>
      <c r="D32" s="2" t="s">
        <v>35</v>
      </c>
      <c r="E32" s="3">
        <v>3483.4720000000002</v>
      </c>
      <c r="F32" s="3">
        <v>3483.7420000000002</v>
      </c>
      <c r="G32" s="3">
        <v>3506.0439999999999</v>
      </c>
      <c r="H32">
        <v>3.2</v>
      </c>
      <c r="I32" s="2" t="s">
        <v>37</v>
      </c>
    </row>
    <row r="33" spans="2:9" ht="45" x14ac:dyDescent="0.25">
      <c r="B33">
        <v>30</v>
      </c>
      <c r="C33" t="s">
        <v>29</v>
      </c>
      <c r="D33" s="2" t="s">
        <v>47</v>
      </c>
      <c r="E33" s="3">
        <v>3447.8180000000002</v>
      </c>
      <c r="F33" s="3">
        <v>3448.18</v>
      </c>
      <c r="G33" s="3">
        <v>3474.1529999999998</v>
      </c>
      <c r="H33">
        <v>7.45</v>
      </c>
      <c r="I33" s="2" t="s">
        <v>48</v>
      </c>
    </row>
    <row r="34" spans="2:9" x14ac:dyDescent="0.25">
      <c r="B34">
        <v>31</v>
      </c>
      <c r="C34" t="s">
        <v>29</v>
      </c>
      <c r="D34" s="2" t="s">
        <v>30</v>
      </c>
      <c r="E34" s="3">
        <v>4156.7120000000004</v>
      </c>
      <c r="F34" s="3">
        <v>4156.7879999999996</v>
      </c>
      <c r="G34" s="3">
        <v>4167.9979999999996</v>
      </c>
      <c r="H34">
        <v>0</v>
      </c>
      <c r="I34" s="2" t="s">
        <v>13</v>
      </c>
    </row>
    <row r="35" spans="2:9" x14ac:dyDescent="0.25">
      <c r="B35">
        <v>32</v>
      </c>
      <c r="C35" t="s">
        <v>29</v>
      </c>
      <c r="D35" s="2" t="s">
        <v>31</v>
      </c>
      <c r="E35" s="3">
        <v>4276.3959999999997</v>
      </c>
      <c r="F35" s="3">
        <v>4276.473</v>
      </c>
      <c r="G35" s="3">
        <v>4287.6819999999998</v>
      </c>
      <c r="H35">
        <v>0</v>
      </c>
      <c r="I35" s="2" t="s">
        <v>13</v>
      </c>
    </row>
    <row r="36" spans="2:9" ht="30" x14ac:dyDescent="0.25">
      <c r="B36">
        <v>33</v>
      </c>
      <c r="C36" t="s">
        <v>29</v>
      </c>
      <c r="D36" s="2" t="s">
        <v>39</v>
      </c>
      <c r="E36" s="3">
        <v>4277.2129999999997</v>
      </c>
      <c r="F36" s="3">
        <v>4277.3410000000003</v>
      </c>
      <c r="G36" s="3">
        <v>4292.2610000000004</v>
      </c>
      <c r="H36">
        <v>1.21</v>
      </c>
      <c r="I36" s="2" t="s">
        <v>13</v>
      </c>
    </row>
    <row r="37" spans="2:9" ht="30" x14ac:dyDescent="0.25">
      <c r="B37">
        <v>34</v>
      </c>
      <c r="C37" t="s">
        <v>29</v>
      </c>
      <c r="D37" s="2" t="s">
        <v>40</v>
      </c>
      <c r="E37" s="3">
        <v>4273.3029999999999</v>
      </c>
      <c r="F37" s="3">
        <v>4273.43</v>
      </c>
      <c r="G37" s="3">
        <v>4288.3509999999997</v>
      </c>
      <c r="H37">
        <v>1.21</v>
      </c>
      <c r="I37" s="2" t="s">
        <v>13</v>
      </c>
    </row>
    <row r="38" spans="2:9" ht="45" x14ac:dyDescent="0.25">
      <c r="B38">
        <v>35</v>
      </c>
      <c r="C38" t="s">
        <v>29</v>
      </c>
      <c r="D38" s="2" t="s">
        <v>41</v>
      </c>
      <c r="E38" s="3">
        <v>4023.3339999999998</v>
      </c>
      <c r="F38" s="3">
        <v>4023.527</v>
      </c>
      <c r="G38" s="3">
        <v>4042.145</v>
      </c>
      <c r="H38">
        <v>1.68</v>
      </c>
      <c r="I38" s="2" t="s">
        <v>42</v>
      </c>
    </row>
    <row r="39" spans="2:9" ht="75" x14ac:dyDescent="0.25">
      <c r="B39">
        <v>36</v>
      </c>
      <c r="C39" t="s">
        <v>29</v>
      </c>
      <c r="D39" s="2" t="s">
        <v>65</v>
      </c>
      <c r="E39" s="3">
        <v>3419.8409999999999</v>
      </c>
      <c r="F39" s="3">
        <v>3420.2020000000002</v>
      </c>
      <c r="G39" s="3">
        <v>3446.1750000000002</v>
      </c>
      <c r="H39">
        <v>4.24</v>
      </c>
      <c r="I39" s="2" t="s">
        <v>13</v>
      </c>
    </row>
    <row r="40" spans="2:9" ht="30" x14ac:dyDescent="0.25">
      <c r="B40">
        <v>37</v>
      </c>
      <c r="C40" t="s">
        <v>29</v>
      </c>
      <c r="D40" s="2" t="s">
        <v>36</v>
      </c>
      <c r="E40" s="3">
        <v>3482.7370000000001</v>
      </c>
      <c r="F40" s="3">
        <v>3483.0070000000001</v>
      </c>
      <c r="G40" s="3">
        <v>3505.3090000000002</v>
      </c>
      <c r="H40">
        <v>3.2</v>
      </c>
      <c r="I40" s="2" t="s">
        <v>13</v>
      </c>
    </row>
    <row r="41" spans="2:9" ht="45" x14ac:dyDescent="0.25">
      <c r="B41">
        <v>38</v>
      </c>
      <c r="C41" t="s">
        <v>29</v>
      </c>
      <c r="D41" s="2" t="s">
        <v>38</v>
      </c>
      <c r="E41" s="3">
        <v>3461.5520000000001</v>
      </c>
      <c r="F41" s="3">
        <v>3461.913</v>
      </c>
      <c r="G41" s="3">
        <v>3487.886</v>
      </c>
      <c r="H41">
        <v>8.69</v>
      </c>
      <c r="I41" s="2" t="s">
        <v>13</v>
      </c>
    </row>
    <row r="42" spans="2:9" x14ac:dyDescent="0.25">
      <c r="B42">
        <v>39</v>
      </c>
      <c r="C42" t="s">
        <v>29</v>
      </c>
      <c r="D42" s="2" t="s">
        <v>32</v>
      </c>
      <c r="E42" s="3">
        <v>4269.982</v>
      </c>
      <c r="F42" s="3">
        <v>4270.0590000000002</v>
      </c>
      <c r="G42" s="3">
        <v>4281.268</v>
      </c>
      <c r="H42">
        <v>0</v>
      </c>
      <c r="I42" s="2" t="s">
        <v>13</v>
      </c>
    </row>
    <row r="43" spans="2:9" ht="45" x14ac:dyDescent="0.25">
      <c r="B43">
        <v>40</v>
      </c>
      <c r="C43" t="s">
        <v>29</v>
      </c>
      <c r="D43" s="2" t="s">
        <v>19</v>
      </c>
      <c r="E43" s="3">
        <v>3924.4180000000001</v>
      </c>
      <c r="F43" s="3">
        <v>3924.61</v>
      </c>
      <c r="G43" s="3">
        <v>3943.2280000000001</v>
      </c>
      <c r="H43">
        <v>1.79</v>
      </c>
      <c r="I43" s="2" t="s">
        <v>14</v>
      </c>
    </row>
    <row r="44" spans="2:9" ht="45" x14ac:dyDescent="0.25">
      <c r="B44">
        <v>41</v>
      </c>
      <c r="C44" t="s">
        <v>29</v>
      </c>
      <c r="D44" s="2" t="s">
        <v>55</v>
      </c>
      <c r="E44" s="3">
        <v>3813.3519999999999</v>
      </c>
      <c r="F44" s="3">
        <v>3813.5439999999999</v>
      </c>
      <c r="G44" s="3">
        <v>3832.1619999999998</v>
      </c>
      <c r="H44">
        <v>1.54</v>
      </c>
      <c r="I44" s="2" t="s">
        <v>14</v>
      </c>
    </row>
    <row r="45" spans="2:9" ht="30" x14ac:dyDescent="0.25">
      <c r="B45">
        <v>42</v>
      </c>
      <c r="C45" t="s">
        <v>29</v>
      </c>
      <c r="D45" s="2" t="s">
        <v>66</v>
      </c>
      <c r="E45" s="3">
        <v>4182.7250000000004</v>
      </c>
      <c r="F45" s="3">
        <v>4182.9170000000004</v>
      </c>
      <c r="G45" s="3">
        <v>4201.5349999999999</v>
      </c>
      <c r="H45">
        <v>2.0099999999999998</v>
      </c>
      <c r="I45" s="2" t="s">
        <v>42</v>
      </c>
    </row>
    <row r="46" spans="2:9" ht="30" x14ac:dyDescent="0.25">
      <c r="B46">
        <v>43</v>
      </c>
      <c r="C46" t="s">
        <v>29</v>
      </c>
      <c r="D46" s="2" t="s">
        <v>67</v>
      </c>
      <c r="E46" s="3">
        <v>4182.4489999999996</v>
      </c>
      <c r="F46" s="3">
        <v>4182.6419999999998</v>
      </c>
      <c r="G46" s="3">
        <v>4201.26</v>
      </c>
      <c r="H46">
        <v>2.04</v>
      </c>
      <c r="I46" s="2" t="s">
        <v>13</v>
      </c>
    </row>
    <row r="47" spans="2:9" ht="45" x14ac:dyDescent="0.25">
      <c r="B47">
        <v>44</v>
      </c>
      <c r="C47" t="s">
        <v>29</v>
      </c>
      <c r="D47" s="2" t="s">
        <v>68</v>
      </c>
      <c r="E47" s="3">
        <v>4143.2830000000004</v>
      </c>
      <c r="F47" s="3">
        <v>4143.4750000000004</v>
      </c>
      <c r="G47" s="3">
        <v>4162.0929999999998</v>
      </c>
      <c r="H47">
        <v>1.26</v>
      </c>
      <c r="I47" s="2" t="s">
        <v>13</v>
      </c>
    </row>
    <row r="48" spans="2:9" ht="45" x14ac:dyDescent="0.25">
      <c r="B48">
        <v>45</v>
      </c>
      <c r="C48" t="s">
        <v>29</v>
      </c>
      <c r="D48" s="2" t="s">
        <v>69</v>
      </c>
      <c r="E48" s="3">
        <v>4143.0450000000001</v>
      </c>
      <c r="F48" s="3">
        <v>4143.2370000000001</v>
      </c>
      <c r="G48" s="3">
        <v>4161.8549999999996</v>
      </c>
      <c r="H48">
        <v>1.25</v>
      </c>
      <c r="I48" s="2" t="s">
        <v>13</v>
      </c>
    </row>
    <row r="49" spans="2:9" ht="60" x14ac:dyDescent="0.25">
      <c r="B49">
        <v>46</v>
      </c>
      <c r="C49" t="s">
        <v>12</v>
      </c>
      <c r="D49" s="2" t="s">
        <v>53</v>
      </c>
      <c r="E49" s="3">
        <v>4135.2349999999997</v>
      </c>
      <c r="F49" s="3">
        <v>4135.5050000000001</v>
      </c>
      <c r="G49" s="3">
        <v>4157.8069999999998</v>
      </c>
      <c r="H49">
        <v>5.92</v>
      </c>
      <c r="I49" s="2" t="s">
        <v>70</v>
      </c>
    </row>
    <row r="50" spans="2:9" ht="75" x14ac:dyDescent="0.25">
      <c r="B50">
        <v>47</v>
      </c>
      <c r="C50" t="s">
        <v>29</v>
      </c>
      <c r="D50" s="2" t="s">
        <v>71</v>
      </c>
      <c r="E50" s="3">
        <v>3411.3969999999999</v>
      </c>
      <c r="F50" s="3">
        <v>3411.759</v>
      </c>
      <c r="G50" s="3">
        <v>3437.732</v>
      </c>
      <c r="H50">
        <v>3.44</v>
      </c>
      <c r="I50" s="2" t="s">
        <v>72</v>
      </c>
    </row>
    <row r="51" spans="2:9" ht="60" x14ac:dyDescent="0.25">
      <c r="B51">
        <v>48</v>
      </c>
      <c r="C51" t="s">
        <v>12</v>
      </c>
      <c r="D51" s="2" t="s">
        <v>73</v>
      </c>
      <c r="E51" s="3">
        <v>4135.482</v>
      </c>
      <c r="F51" s="3">
        <v>4135.732</v>
      </c>
      <c r="G51" s="3">
        <v>4158.0540000000001</v>
      </c>
      <c r="H51">
        <v>6.1</v>
      </c>
      <c r="I51" s="2" t="s">
        <v>74</v>
      </c>
    </row>
    <row r="52" spans="2:9" ht="30" x14ac:dyDescent="0.25">
      <c r="B52">
        <v>49</v>
      </c>
      <c r="C52" t="s">
        <v>29</v>
      </c>
      <c r="D52" s="2" t="s">
        <v>75</v>
      </c>
      <c r="E52" s="3">
        <v>4068.76</v>
      </c>
      <c r="F52" s="3">
        <v>4068.953</v>
      </c>
      <c r="G52" s="3">
        <v>4087.57</v>
      </c>
      <c r="H52">
        <v>2.52</v>
      </c>
      <c r="I52" s="2" t="s">
        <v>37</v>
      </c>
    </row>
    <row r="53" spans="2:9" ht="45" x14ac:dyDescent="0.25">
      <c r="B53">
        <v>50</v>
      </c>
      <c r="C53" t="s">
        <v>12</v>
      </c>
      <c r="D53" s="2" t="s">
        <v>76</v>
      </c>
      <c r="E53" s="3">
        <v>4177.2129999999997</v>
      </c>
      <c r="F53" s="3">
        <v>4177.4059999999999</v>
      </c>
      <c r="G53" s="3">
        <v>4196.0240000000003</v>
      </c>
      <c r="H53">
        <v>1.77</v>
      </c>
      <c r="I53" s="2" t="s">
        <v>13</v>
      </c>
    </row>
    <row r="54" spans="2:9" ht="30" x14ac:dyDescent="0.25">
      <c r="B54">
        <v>51</v>
      </c>
      <c r="C54" t="s">
        <v>29</v>
      </c>
      <c r="D54" s="2" t="s">
        <v>77</v>
      </c>
      <c r="E54" s="3">
        <v>4152.0290000000005</v>
      </c>
      <c r="F54" s="3">
        <v>4152.2219999999998</v>
      </c>
      <c r="G54" s="3">
        <v>4170.84</v>
      </c>
      <c r="H54">
        <v>1.87</v>
      </c>
      <c r="I54" s="2" t="s">
        <v>95</v>
      </c>
    </row>
    <row r="55" spans="2:9" ht="30" x14ac:dyDescent="0.25">
      <c r="B55">
        <v>52</v>
      </c>
      <c r="C55" t="s">
        <v>29</v>
      </c>
      <c r="D55" s="2" t="s">
        <v>78</v>
      </c>
      <c r="E55" s="3">
        <v>4150.4849999999997</v>
      </c>
      <c r="F55" s="3">
        <v>4150.6779999999999</v>
      </c>
      <c r="G55" s="3">
        <v>4169.2960000000003</v>
      </c>
      <c r="H55">
        <v>1.78</v>
      </c>
      <c r="I55" s="2" t="s">
        <v>79</v>
      </c>
    </row>
    <row r="56" spans="2:9" ht="45" x14ac:dyDescent="0.25">
      <c r="B56">
        <v>53</v>
      </c>
      <c r="C56" t="s">
        <v>12</v>
      </c>
      <c r="D56" s="2" t="s">
        <v>80</v>
      </c>
      <c r="E56" s="3">
        <v>4182.732</v>
      </c>
      <c r="F56" s="3">
        <v>4182.924</v>
      </c>
      <c r="G56" s="3">
        <v>4201.5420000000004</v>
      </c>
      <c r="H56">
        <v>20</v>
      </c>
      <c r="I56" s="2" t="s">
        <v>96</v>
      </c>
    </row>
    <row r="57" spans="2:9" x14ac:dyDescent="0.25">
      <c r="B57">
        <v>54</v>
      </c>
      <c r="C57" t="s">
        <v>29</v>
      </c>
      <c r="D57" s="2" t="s">
        <v>81</v>
      </c>
      <c r="E57" s="3">
        <v>4263.1610000000001</v>
      </c>
      <c r="F57" s="3">
        <v>4263.2889999999998</v>
      </c>
      <c r="G57" s="3">
        <v>4278.2089999999998</v>
      </c>
      <c r="H57">
        <v>1.29</v>
      </c>
      <c r="I57" s="2" t="s">
        <v>13</v>
      </c>
    </row>
    <row r="58" spans="2:9" ht="75" x14ac:dyDescent="0.25">
      <c r="B58">
        <v>55</v>
      </c>
      <c r="C58" t="s">
        <v>29</v>
      </c>
      <c r="D58" s="2" t="s">
        <v>82</v>
      </c>
      <c r="E58" s="3">
        <v>3496.0859999999998</v>
      </c>
      <c r="F58" s="3">
        <v>3496.4470000000001</v>
      </c>
      <c r="G58" s="3">
        <v>3522.42</v>
      </c>
      <c r="H58">
        <v>3.79</v>
      </c>
      <c r="I58" s="2" t="s">
        <v>14</v>
      </c>
    </row>
    <row r="59" spans="2:9" x14ac:dyDescent="0.25">
      <c r="B59">
        <v>56</v>
      </c>
      <c r="C59" t="s">
        <v>12</v>
      </c>
      <c r="D59" s="2" t="s">
        <v>83</v>
      </c>
      <c r="E59" s="3">
        <v>4410.1360000000004</v>
      </c>
      <c r="F59" s="3">
        <v>4410.2129999999997</v>
      </c>
      <c r="G59" s="3">
        <v>4421.4219999999996</v>
      </c>
      <c r="H59">
        <v>0</v>
      </c>
      <c r="I59" s="2" t="s">
        <v>13</v>
      </c>
    </row>
    <row r="60" spans="2:9" x14ac:dyDescent="0.25">
      <c r="B60">
        <v>57</v>
      </c>
      <c r="C60" t="s">
        <v>29</v>
      </c>
      <c r="D60" s="2" t="s">
        <v>83</v>
      </c>
      <c r="E60" s="3">
        <v>4680.2430000000004</v>
      </c>
      <c r="F60" s="3">
        <v>4680.32</v>
      </c>
      <c r="G60" s="3">
        <v>4691.5290000000005</v>
      </c>
      <c r="H60">
        <v>0</v>
      </c>
      <c r="I60" s="2" t="s">
        <v>13</v>
      </c>
    </row>
    <row r="61" spans="2:9" x14ac:dyDescent="0.25">
      <c r="B61">
        <v>58</v>
      </c>
      <c r="C61" t="s">
        <v>12</v>
      </c>
      <c r="D61" s="2" t="s">
        <v>84</v>
      </c>
      <c r="E61" s="3">
        <v>4339.692</v>
      </c>
      <c r="F61" s="3">
        <v>4339.768</v>
      </c>
      <c r="G61" s="3">
        <v>4350.9780000000001</v>
      </c>
      <c r="H61">
        <v>0</v>
      </c>
      <c r="I61" s="2" t="s">
        <v>13</v>
      </c>
    </row>
    <row r="62" spans="2:9" x14ac:dyDescent="0.25">
      <c r="B62">
        <v>59</v>
      </c>
      <c r="C62" t="s">
        <v>29</v>
      </c>
      <c r="D62" s="2" t="s">
        <v>84</v>
      </c>
      <c r="E62" s="3">
        <v>4575.9870000000001</v>
      </c>
      <c r="F62" s="3">
        <v>4576.0630000000001</v>
      </c>
      <c r="G62" s="3">
        <v>4587.2730000000001</v>
      </c>
      <c r="H62">
        <v>0</v>
      </c>
      <c r="I62" s="2" t="s">
        <v>13</v>
      </c>
    </row>
    <row r="63" spans="2:9" x14ac:dyDescent="0.25">
      <c r="B63">
        <v>60</v>
      </c>
      <c r="C63" t="s">
        <v>12</v>
      </c>
      <c r="D63" s="2" t="s">
        <v>32</v>
      </c>
      <c r="E63" s="3">
        <v>4665.6329999999998</v>
      </c>
      <c r="F63" s="3">
        <v>4665.7089999999998</v>
      </c>
      <c r="G63" s="3">
        <v>4676.9189999999999</v>
      </c>
      <c r="H63">
        <v>0</v>
      </c>
      <c r="I63" s="2" t="s">
        <v>13</v>
      </c>
    </row>
    <row r="64" spans="2:9" x14ac:dyDescent="0.25">
      <c r="B64">
        <v>61</v>
      </c>
      <c r="C64" t="s">
        <v>12</v>
      </c>
      <c r="D64" s="2" t="s">
        <v>30</v>
      </c>
      <c r="E64" s="3">
        <v>4691.0330000000004</v>
      </c>
      <c r="F64" s="3">
        <v>4691.1099999999997</v>
      </c>
      <c r="G64" s="3">
        <v>4702.3190000000004</v>
      </c>
      <c r="H64">
        <v>0</v>
      </c>
      <c r="I64" s="2" t="s">
        <v>13</v>
      </c>
    </row>
    <row r="65" spans="2:9" x14ac:dyDescent="0.25">
      <c r="B65">
        <v>62</v>
      </c>
      <c r="C65" t="s">
        <v>29</v>
      </c>
      <c r="D65" s="2" t="s">
        <v>30</v>
      </c>
      <c r="E65" s="3">
        <v>4156.7120000000004</v>
      </c>
      <c r="F65" s="3">
        <v>4156.7879999999996</v>
      </c>
      <c r="G65" s="3">
        <v>4167.9979999999996</v>
      </c>
      <c r="H65">
        <v>0</v>
      </c>
      <c r="I65" s="2" t="s">
        <v>13</v>
      </c>
    </row>
    <row r="66" spans="2:9" ht="45" x14ac:dyDescent="0.25">
      <c r="B66">
        <v>63</v>
      </c>
      <c r="C66" t="s">
        <v>12</v>
      </c>
      <c r="D66" s="2" t="s">
        <v>93</v>
      </c>
      <c r="E66" s="3">
        <v>4178.4120000000003</v>
      </c>
      <c r="F66" s="3">
        <v>4178.6040000000003</v>
      </c>
      <c r="G66" s="3">
        <v>4197.2219999999998</v>
      </c>
      <c r="H66">
        <v>2.38</v>
      </c>
      <c r="I66" s="2" t="s">
        <v>13</v>
      </c>
    </row>
    <row r="67" spans="2:9" x14ac:dyDescent="0.25">
      <c r="B67">
        <v>64</v>
      </c>
      <c r="C67" t="s">
        <v>29</v>
      </c>
      <c r="D67" s="2" t="s">
        <v>85</v>
      </c>
      <c r="E67" s="3">
        <v>4633.87</v>
      </c>
      <c r="F67" s="3">
        <v>4633.9470000000001</v>
      </c>
      <c r="G67" s="3">
        <v>4645.1559999999999</v>
      </c>
      <c r="H67">
        <v>0</v>
      </c>
      <c r="I67" s="2" t="s">
        <v>13</v>
      </c>
    </row>
    <row r="68" spans="2:9" ht="30" x14ac:dyDescent="0.25">
      <c r="B68">
        <v>65</v>
      </c>
      <c r="C68" t="s">
        <v>12</v>
      </c>
      <c r="D68" s="2" t="s">
        <v>86</v>
      </c>
      <c r="E68" s="3">
        <v>4335.5060000000003</v>
      </c>
      <c r="F68" s="3">
        <v>4335.634</v>
      </c>
      <c r="G68" s="3">
        <v>4350.5540000000001</v>
      </c>
      <c r="H68">
        <v>1.54</v>
      </c>
      <c r="I68" s="2" t="s">
        <v>13</v>
      </c>
    </row>
    <row r="69" spans="2:9" x14ac:dyDescent="0.25">
      <c r="B69">
        <v>66</v>
      </c>
      <c r="C69" t="s">
        <v>29</v>
      </c>
      <c r="D69" s="2" t="s">
        <v>87</v>
      </c>
      <c r="E69" s="3">
        <v>4612.6469999999999</v>
      </c>
      <c r="F69" s="3">
        <v>4612.7749999999996</v>
      </c>
      <c r="G69" s="3">
        <v>4627.6949999999997</v>
      </c>
      <c r="H69">
        <v>1.1100000000000001</v>
      </c>
      <c r="I69" s="2" t="s">
        <v>13</v>
      </c>
    </row>
    <row r="70" spans="2:9" ht="30" x14ac:dyDescent="0.25">
      <c r="B70">
        <v>67</v>
      </c>
      <c r="C70" t="s">
        <v>29</v>
      </c>
      <c r="D70" s="2" t="s">
        <v>94</v>
      </c>
      <c r="E70" s="3">
        <v>4201.57</v>
      </c>
      <c r="F70" s="3">
        <v>4201.7629999999999</v>
      </c>
      <c r="G70" s="3">
        <v>4220.3810000000003</v>
      </c>
      <c r="H70">
        <v>20</v>
      </c>
      <c r="I70" s="2" t="s">
        <v>96</v>
      </c>
    </row>
  </sheetData>
  <mergeCells count="1">
    <mergeCell ref="B2:I2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9601-16F6-4395-B38B-E04E76FEF244}">
  <dimension ref="B2:R42"/>
  <sheetViews>
    <sheetView tabSelected="1" zoomScale="78" workbookViewId="0">
      <selection activeCell="B10" sqref="B10"/>
    </sheetView>
  </sheetViews>
  <sheetFormatPr defaultRowHeight="15" x14ac:dyDescent="0.25"/>
  <cols>
    <col min="2" max="2" width="10.5703125" bestFit="1" customWidth="1"/>
    <col min="4" max="4" width="36.5703125" customWidth="1"/>
    <col min="5" max="5" width="36.7109375" customWidth="1"/>
    <col min="6" max="6" width="11.140625" customWidth="1"/>
    <col min="7" max="7" width="10.85546875" customWidth="1"/>
    <col min="8" max="8" width="10.5703125" customWidth="1"/>
    <col min="9" max="9" width="11.85546875" customWidth="1"/>
    <col min="12" max="12" width="20.5703125" bestFit="1" customWidth="1"/>
    <col min="17" max="17" width="15.42578125" bestFit="1" customWidth="1"/>
  </cols>
  <sheetData>
    <row r="2" spans="2:18" ht="18.75" x14ac:dyDescent="0.3">
      <c r="B2" s="4" t="s">
        <v>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2:18" x14ac:dyDescent="0.25">
      <c r="B3" t="s">
        <v>9</v>
      </c>
      <c r="C3" t="s">
        <v>10</v>
      </c>
      <c r="D3" t="s">
        <v>20</v>
      </c>
      <c r="E3" t="s">
        <v>21</v>
      </c>
      <c r="F3" t="s">
        <v>4</v>
      </c>
      <c r="G3" t="s">
        <v>5</v>
      </c>
      <c r="H3" t="s">
        <v>6</v>
      </c>
      <c r="I3" t="s">
        <v>7</v>
      </c>
      <c r="J3" t="s">
        <v>11</v>
      </c>
      <c r="K3" t="s">
        <v>59</v>
      </c>
      <c r="L3" t="s">
        <v>60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97</v>
      </c>
    </row>
    <row r="4" spans="2:18" ht="45" x14ac:dyDescent="0.25">
      <c r="B4">
        <v>12</v>
      </c>
      <c r="C4">
        <v>43</v>
      </c>
      <c r="D4" s="2" t="str">
        <f>VLOOKUP(Tabela4[[#This Row],[ID PNAB]],Tabela3[],3,FALSE)</f>
        <v>scale(log(PIB)) + scale(log(ORC_TOTAL_EMPENHADO)) + scale(DISCR_TX)</v>
      </c>
      <c r="E4" s="2" t="str">
        <f>VLOOKUP(Tabela4[[#This Row],[ID PSE]],Tabela3[],3,FALSE)</f>
        <v>scale(log(PIB)) + scale(TX_VETO) + scale(log(DISCR_DOTACAO))</v>
      </c>
      <c r="F4">
        <v>8348.848</v>
      </c>
      <c r="G4">
        <v>8349.7109999999993</v>
      </c>
      <c r="H4">
        <v>8390.2309999999998</v>
      </c>
      <c r="I4">
        <f>MAX(VLOOKUP(Tabela4[[#This Row],[ID PNAB]],Tabela3[],7,FALSE),VLOOKUP(Tabela4[[#This Row],[ID PSE]],Tabela3[],7,FALSE))</f>
        <v>2.04</v>
      </c>
      <c r="J4">
        <v>0.85660000000000003</v>
      </c>
      <c r="K4">
        <f>Tabela4[[#This Row],[theta]]/(Tabela4[[#This Row],[theta]]+2)</f>
        <v>0.29986697472519774</v>
      </c>
      <c r="L4" t="s">
        <v>63</v>
      </c>
      <c r="M4">
        <v>6</v>
      </c>
      <c r="N4">
        <f>VLOOKUP(Tabela4[[#This Row],[ID PNAB]],Tabela3[],6,FALSE)</f>
        <v>4194.7020000000002</v>
      </c>
      <c r="O4">
        <f>VLOOKUP(Tabela4[[#This Row],[ID PSE]],Tabela3[],6,FALSE)</f>
        <v>4201.26</v>
      </c>
      <c r="P4" t="str">
        <f>VLOOKUP(Tabela4[[#This Row],[ID PNAB]],Tabela3[],8,FALSE)</f>
        <v>-</v>
      </c>
      <c r="Q4" t="str">
        <f>VLOOKUP(Tabela4[[#This Row],[ID PSE]],Tabela3[],8,FALSE)</f>
        <v>-</v>
      </c>
      <c r="R4" t="s">
        <v>98</v>
      </c>
    </row>
    <row r="5" spans="2:18" ht="45" x14ac:dyDescent="0.25">
      <c r="B5">
        <v>12</v>
      </c>
      <c r="C5">
        <v>51</v>
      </c>
      <c r="D5" s="2" t="str">
        <f>VLOOKUP(Tabela4[[#This Row],[ID PNAB]],Tabela3[],3,FALSE)</f>
        <v>scale(log(PIB)) + scale(log(ORC_TOTAL_EMPENHADO)) + scale(DISCR_TX)</v>
      </c>
      <c r="E5" s="2" t="str">
        <f>VLOOKUP(Tabela4[[#This Row],[ID PSE]],Tabela3[],3,FALSE)</f>
        <v>scale(log(PIB)) + scale(TX_VETO) + scale(DISCR_TX)</v>
      </c>
      <c r="F5">
        <v>8328.8259999999991</v>
      </c>
      <c r="G5">
        <v>8329.6880000000001</v>
      </c>
      <c r="H5">
        <v>8370.2080000000005</v>
      </c>
      <c r="I5">
        <f>MAX(VLOOKUP(Tabela4[[#This Row],[ID PNAB]],Tabela3[],7,FALSE),VLOOKUP(Tabela4[[#This Row],[ID PSE]],Tabela3[],7,FALSE))</f>
        <v>1.87</v>
      </c>
      <c r="J5">
        <v>0.19270000000000001</v>
      </c>
      <c r="K5">
        <f>Tabela4[[#This Row],[theta]]/(Tabela4[[#This Row],[theta]]+2)</f>
        <v>8.7882519268481785E-2</v>
      </c>
      <c r="M5">
        <v>6</v>
      </c>
      <c r="N5">
        <f>VLOOKUP(Tabela4[[#This Row],[ID PNAB]],Tabela3[],6,FALSE)</f>
        <v>4194.7020000000002</v>
      </c>
      <c r="O5">
        <f>VLOOKUP(Tabela4[[#This Row],[ID PSE]],Tabela3[],6,FALSE)</f>
        <v>4170.84</v>
      </c>
      <c r="P5" t="str">
        <f>VLOOKUP(Tabela4[[#This Row],[ID PNAB]],Tabela3[],8,FALSE)</f>
        <v>-</v>
      </c>
      <c r="Q5" t="str">
        <f>VLOOKUP(Tabela4[[#This Row],[ID PSE]],Tabela3[],8,FALSE)</f>
        <v>scale(DISCR_TX)</v>
      </c>
      <c r="R5" t="s">
        <v>100</v>
      </c>
    </row>
    <row r="6" spans="2:18" ht="30" x14ac:dyDescent="0.25">
      <c r="B6">
        <v>4</v>
      </c>
      <c r="C6">
        <v>43</v>
      </c>
      <c r="D6" s="2" t="str">
        <f>VLOOKUP(Tabela4[[#This Row],[ID PNAB]],Tabela3[],3,FALSE)</f>
        <v>scale(log(PIB)) + scale(log(ORC_TOTAL_EMPENHADO))</v>
      </c>
      <c r="E6" s="2" t="str">
        <f>VLOOKUP(Tabela4[[#This Row],[ID PSE]],Tabela3[],3,FALSE)</f>
        <v>scale(log(PIB)) + scale(TX_VETO) + scale(log(DISCR_DOTACAO))</v>
      </c>
      <c r="F6">
        <v>8453.7849999999999</v>
      </c>
      <c r="G6">
        <v>8454.5020000000004</v>
      </c>
      <c r="H6">
        <v>8491.4060000000009</v>
      </c>
      <c r="I6">
        <f>MAX(VLOOKUP(Tabela4[[#This Row],[ID PNAB]],Tabela3[],7,FALSE),VLOOKUP(Tabela4[[#This Row],[ID PSE]],Tabela3[],7,FALSE))</f>
        <v>2.04</v>
      </c>
      <c r="J6">
        <v>5.2499999999999998E-2</v>
      </c>
      <c r="K6">
        <f>Tabela4[[#This Row],[theta]]/(Tabela4[[#This Row],[theta]]+2)</f>
        <v>2.5578562728380022E-2</v>
      </c>
      <c r="L6" t="s">
        <v>18</v>
      </c>
      <c r="M6">
        <v>5</v>
      </c>
      <c r="N6">
        <f>VLOOKUP(Tabela4[[#This Row],[ID PNAB]],Tabela3[],6,FALSE)</f>
        <v>4284.4799999999996</v>
      </c>
      <c r="O6">
        <f>VLOOKUP(Tabela4[[#This Row],[ID PSE]],Tabela3[],6,FALSE)</f>
        <v>4201.26</v>
      </c>
      <c r="P6" t="str">
        <f>VLOOKUP(Tabela4[[#This Row],[ID PNAB]],Tabela3[],8,FALSE)</f>
        <v>-</v>
      </c>
      <c r="Q6" t="str">
        <f>VLOOKUP(Tabela4[[#This Row],[ID PSE]],Tabela3[],8,FALSE)</f>
        <v>-</v>
      </c>
      <c r="R6" t="s">
        <v>101</v>
      </c>
    </row>
    <row r="7" spans="2:18" ht="75" x14ac:dyDescent="0.25">
      <c r="B7">
        <v>13</v>
      </c>
      <c r="C7">
        <v>47</v>
      </c>
      <c r="D7" s="2" t="str">
        <f>VLOOKUP(Tabela4[[#This Row],[ID PNAB]],Tabela3[],3,FALSE)</f>
        <v>scale(log(PIB)) + scale(log(ORC_TOTAL_EMPENHADO)) + scale(DISCR_TX) + scale(log(SERVIDORES))</v>
      </c>
      <c r="E7" s="2" t="str">
        <f>VLOOKUP(Tabela4[[#This Row],[ID PSE]],Tabela3[],3,FALSE)</f>
        <v>scale(log(PIB)) + scale(ORC_TOTAL_EMPENHADO) + scale(log(TX_SUCESSO)) + scale(log(DISCR_TX)) + scale(log(INDICE_MNST))</v>
      </c>
      <c r="F7">
        <v>7548.1379999999999</v>
      </c>
      <c r="G7">
        <v>7549.5240000000003</v>
      </c>
      <c r="H7">
        <v>7600.8069999999998</v>
      </c>
      <c r="I7">
        <f>MAX(VLOOKUP(Tabela4[[#This Row],[ID PNAB]],Tabela3[],7,FALSE),VLOOKUP(Tabela4[[#This Row],[ID PSE]],Tabela3[],7,FALSE))</f>
        <v>5.89</v>
      </c>
      <c r="J7">
        <v>-4.9299999999999997E-2</v>
      </c>
      <c r="K7">
        <f>Tabela4[[#This Row],[theta]]/(Tabela4[[#This Row],[theta]]+2)</f>
        <v>-2.5272978930640282E-2</v>
      </c>
      <c r="M7">
        <v>9</v>
      </c>
      <c r="N7">
        <f>VLOOKUP(Tabela4[[#This Row],[ID PNAB]],Tabela3[],6,FALSE)</f>
        <v>4157.7330000000002</v>
      </c>
      <c r="O7">
        <f>VLOOKUP(Tabela4[[#This Row],[ID PSE]],Tabela3[],6,FALSE)</f>
        <v>3437.732</v>
      </c>
      <c r="P7" t="str">
        <f>VLOOKUP(Tabela4[[#This Row],[ID PNAB]],Tabela3[],8,FALSE)</f>
        <v>log(SERVIDORES)</v>
      </c>
      <c r="Q7" t="str">
        <f>VLOOKUP(Tabela4[[#This Row],[ID PSE]],Tabela3[],8,FALSE)</f>
        <v xml:space="preserve">scale(log(PIB)) </v>
      </c>
      <c r="R7" t="s">
        <v>99</v>
      </c>
    </row>
    <row r="8" spans="2:18" ht="75" x14ac:dyDescent="0.25">
      <c r="B8">
        <v>14</v>
      </c>
      <c r="C8">
        <v>47</v>
      </c>
      <c r="D8" s="2" t="str">
        <f>VLOOKUP(Tabela4[[#This Row],[ID PNAB]],Tabela3[],3,FALSE)</f>
        <v>scale(log(PIB)) + scale(log(ORC_TOTAL_EMPENHADO)) + scale(log(DISCR_TX)) + scale(log(SERVIDORES))</v>
      </c>
      <c r="E8" s="2" t="str">
        <f>VLOOKUP(Tabela4[[#This Row],[ID PSE]],Tabela3[],3,FALSE)</f>
        <v>scale(log(PIB)) + scale(ORC_TOTAL_EMPENHADO) + scale(log(TX_SUCESSO)) + scale(log(DISCR_TX)) + scale(log(INDICE_MNST))</v>
      </c>
      <c r="F8">
        <v>7548.2049999999999</v>
      </c>
      <c r="G8">
        <v>7549.5910000000003</v>
      </c>
      <c r="H8">
        <v>7600.8739999999998</v>
      </c>
      <c r="I8">
        <f>MAX(VLOOKUP(Tabela4[[#This Row],[ID PNAB]],Tabela3[],7,FALSE),VLOOKUP(Tabela4[[#This Row],[ID PSE]],Tabela3[],7,FALSE))</f>
        <v>5.92</v>
      </c>
      <c r="J8">
        <v>-4.9700000000000001E-2</v>
      </c>
      <c r="K8">
        <f>Tabela4[[#This Row],[theta]]/(Tabela4[[#This Row],[theta]]+2)</f>
        <v>-2.5483258985797057E-2</v>
      </c>
      <c r="M8">
        <v>9</v>
      </c>
      <c r="N8">
        <f>VLOOKUP(Tabela4[[#This Row],[ID PNAB]],Tabela3[],6,FALSE)</f>
        <v>4157.8069999999998</v>
      </c>
      <c r="O8">
        <f>VLOOKUP(Tabela4[[#This Row],[ID PSE]],Tabela3[],6,FALSE)</f>
        <v>3437.732</v>
      </c>
      <c r="P8" t="str">
        <f>VLOOKUP(Tabela4[[#This Row],[ID PNAB]],Tabela3[],8,FALSE)</f>
        <v>log(SERVIDORES)</v>
      </c>
      <c r="Q8" t="str">
        <f>VLOOKUP(Tabela4[[#This Row],[ID PSE]],Tabela3[],8,FALSE)</f>
        <v xml:space="preserve">scale(log(PIB)) </v>
      </c>
    </row>
    <row r="9" spans="2:18" ht="75" x14ac:dyDescent="0.25">
      <c r="B9">
        <v>48</v>
      </c>
      <c r="C9">
        <v>47</v>
      </c>
      <c r="D9" s="2" t="str">
        <f>VLOOKUP(Tabela4[[#This Row],[ID PNAB]],Tabela3[],3,FALSE)</f>
        <v>scale(log(PIB)) + scale(log(ORC_TOTAL_EMPENHADO)) + scale(log(DISCR_TX)) + scale(SERVIDORES)</v>
      </c>
      <c r="E9" s="2" t="str">
        <f>VLOOKUP(Tabela4[[#This Row],[ID PSE]],Tabela3[],3,FALSE)</f>
        <v>scale(log(PIB)) + scale(ORC_TOTAL_EMPENHADO) + scale(log(TX_SUCESSO)) + scale(log(DISCR_TX)) + scale(log(INDICE_MNST))</v>
      </c>
      <c r="F9">
        <v>7549.4530000000004</v>
      </c>
      <c r="G9">
        <v>7550.8389999999999</v>
      </c>
      <c r="H9">
        <v>7602.1210000000001</v>
      </c>
      <c r="I9">
        <f>MAX(VLOOKUP(Tabela4[[#This Row],[ID PNAB]],Tabela3[],7,FALSE),VLOOKUP(Tabela4[[#This Row],[ID PSE]],Tabela3[],7,FALSE))</f>
        <v>6.1</v>
      </c>
      <c r="J9">
        <v>-5.8400000000000001E-2</v>
      </c>
      <c r="K9">
        <f>Tabela4[[#This Row],[theta]]/(Tabela4[[#This Row],[theta]]+2)</f>
        <v>-3.0078285949732182E-2</v>
      </c>
      <c r="M9">
        <v>9</v>
      </c>
      <c r="N9">
        <f>VLOOKUP(Tabela4[[#This Row],[ID PNAB]],Tabela3[],6,FALSE)</f>
        <v>4158.0540000000001</v>
      </c>
      <c r="O9">
        <f>VLOOKUP(Tabela4[[#This Row],[ID PSE]],Tabela3[],6,FALSE)</f>
        <v>3437.732</v>
      </c>
      <c r="P9" t="str">
        <f>VLOOKUP(Tabela4[[#This Row],[ID PNAB]],Tabela3[],8,FALSE)</f>
        <v>scale(SERVIDORES)</v>
      </c>
      <c r="Q9" t="str">
        <f>VLOOKUP(Tabela4[[#This Row],[ID PSE]],Tabela3[],8,FALSE)</f>
        <v xml:space="preserve">scale(log(PIB)) </v>
      </c>
    </row>
    <row r="10" spans="2:18" ht="75" x14ac:dyDescent="0.25">
      <c r="B10">
        <v>13</v>
      </c>
      <c r="C10">
        <v>24</v>
      </c>
      <c r="D10" s="2" t="str">
        <f>VLOOKUP(Tabela4[[#This Row],[ID PNAB]],Tabela3[],3,FALSE)</f>
        <v>scale(log(PIB)) + scale(log(ORC_TOTAL_EMPENHADO)) + scale(DISCR_TX) + scale(log(SERVIDORES))</v>
      </c>
      <c r="E10" s="2" t="str">
        <f>VLOOKUP(Tabela4[[#This Row],[ID PSE]],Tabela3[],3,FALSE)</f>
        <v>scale(log(PIB)) + scale(ORC_TOTAL_EMPENHADO) + scale(log(TX_SUCESSO)) + scale(DISCR_TX) + scale(log(INDICE_MNST))</v>
      </c>
      <c r="F10">
        <v>7555.05</v>
      </c>
      <c r="G10">
        <v>7556.4359999999997</v>
      </c>
      <c r="H10">
        <v>7607.7179999999998</v>
      </c>
      <c r="I10">
        <f>MAX(VLOOKUP(Tabela4[[#This Row],[ID PNAB]],Tabela3[],7,FALSE),VLOOKUP(Tabela4[[#This Row],[ID PSE]],Tabela3[],7,FALSE))</f>
        <v>5.89</v>
      </c>
      <c r="J10">
        <v>-4.5600000000000002E-2</v>
      </c>
      <c r="K10">
        <f>Tabela4[[#This Row],[theta]]/(Tabela4[[#This Row],[theta]]+2)</f>
        <v>-2.3331968890708148E-2</v>
      </c>
      <c r="L10" t="s">
        <v>18</v>
      </c>
      <c r="M10">
        <v>9</v>
      </c>
      <c r="N10">
        <f>VLOOKUP(Tabela4[[#This Row],[ID PNAB]],Tabela3[],6,FALSE)</f>
        <v>4157.7330000000002</v>
      </c>
      <c r="O10">
        <f>VLOOKUP(Tabela4[[#This Row],[ID PSE]],Tabela3[],6,FALSE)</f>
        <v>3444.5079999999998</v>
      </c>
      <c r="P10" t="str">
        <f>VLOOKUP(Tabela4[[#This Row],[ID PNAB]],Tabela3[],8,FALSE)</f>
        <v>log(SERVIDORES)</v>
      </c>
      <c r="Q10" t="str">
        <f>VLOOKUP(Tabela4[[#This Row],[ID PSE]],Tabela3[],8,FALSE)</f>
        <v>scale(log(PIB))</v>
      </c>
    </row>
    <row r="11" spans="2:18" ht="75" x14ac:dyDescent="0.25">
      <c r="B11">
        <v>14</v>
      </c>
      <c r="C11">
        <v>24</v>
      </c>
      <c r="D11" s="2" t="str">
        <f>VLOOKUP(Tabela4[[#This Row],[ID PNAB]],Tabela3[],3,FALSE)</f>
        <v>scale(log(PIB)) + scale(log(ORC_TOTAL_EMPENHADO)) + scale(log(DISCR_TX)) + scale(log(SERVIDORES))</v>
      </c>
      <c r="E11" s="2" t="str">
        <f>VLOOKUP(Tabela4[[#This Row],[ID PSE]],Tabela3[],3,FALSE)</f>
        <v>scale(log(PIB)) + scale(ORC_TOTAL_EMPENHADO) + scale(log(TX_SUCESSO)) + scale(DISCR_TX) + scale(log(INDICE_MNST))</v>
      </c>
      <c r="F11">
        <v>7555.1109999999999</v>
      </c>
      <c r="G11">
        <v>7556.4970000000003</v>
      </c>
      <c r="H11">
        <v>7607.78</v>
      </c>
      <c r="I11">
        <f>MAX(VLOOKUP(Tabela4[[#This Row],[ID PNAB]],Tabela3[],7,FALSE),VLOOKUP(Tabela4[[#This Row],[ID PSE]],Tabela3[],7,FALSE))</f>
        <v>5.92</v>
      </c>
      <c r="J11">
        <v>-4.6800000000000001E-2</v>
      </c>
      <c r="K11">
        <f>Tabela4[[#This Row],[theta]]/(Tabela4[[#This Row],[theta]]+2)</f>
        <v>-2.3960679909891459E-2</v>
      </c>
      <c r="M11">
        <v>9</v>
      </c>
      <c r="N11">
        <f>VLOOKUP(Tabela4[[#This Row],[ID PNAB]],Tabela3[],6,FALSE)</f>
        <v>4157.8069999999998</v>
      </c>
      <c r="O11">
        <f>VLOOKUP(Tabela4[[#This Row],[ID PSE]],Tabela3[],6,FALSE)</f>
        <v>3444.5079999999998</v>
      </c>
      <c r="P11" t="str">
        <f>VLOOKUP(Tabela4[[#This Row],[ID PNAB]],Tabela3[],8,FALSE)</f>
        <v>log(SERVIDORES)</v>
      </c>
      <c r="Q11" t="str">
        <f>VLOOKUP(Tabela4[[#This Row],[ID PSE]],Tabela3[],8,FALSE)</f>
        <v>scale(log(PIB))</v>
      </c>
    </row>
    <row r="12" spans="2:18" ht="75" x14ac:dyDescent="0.25">
      <c r="B12">
        <v>13</v>
      </c>
      <c r="C12">
        <v>36</v>
      </c>
      <c r="D12" s="2" t="str">
        <f>VLOOKUP(Tabela4[[#This Row],[ID PNAB]],Tabela3[],3,FALSE)</f>
        <v>scale(log(PIB)) + scale(log(ORC_TOTAL_EMPENHADO)) + scale(DISCR_TX) + scale(log(SERVIDORES))</v>
      </c>
      <c r="E12" s="2" t="str">
        <f>VLOOKUP(Tabela4[[#This Row],[ID PSE]],Tabela3[],3,FALSE)</f>
        <v>scale(PIB) + scale(ORC_TOTAL_EMPENHADO) + scale(log(TX_SUCESSO)) + scale(DISCR_TX) + scale(log(INDICE_MNST))</v>
      </c>
      <c r="F12">
        <v>7556.7560000000003</v>
      </c>
      <c r="G12">
        <v>7558.1419999999998</v>
      </c>
      <c r="H12">
        <v>7609.4250000000002</v>
      </c>
      <c r="I12">
        <f>MAX(VLOOKUP(Tabela4[[#This Row],[ID PNAB]],Tabela3[],7,FALSE),VLOOKUP(Tabela4[[#This Row],[ID PSE]],Tabela3[],7,FALSE))</f>
        <v>5.89</v>
      </c>
      <c r="J12">
        <v>-4.3900000000000002E-2</v>
      </c>
      <c r="K12">
        <f>Tabela4[[#This Row],[theta]]/(Tabela4[[#This Row],[theta]]+2)</f>
        <v>-2.2442615408210215E-2</v>
      </c>
      <c r="L12" t="s">
        <v>18</v>
      </c>
      <c r="M12">
        <v>9</v>
      </c>
      <c r="N12">
        <f>VLOOKUP(Tabela4[[#This Row],[ID PNAB]],Tabela3[],6,FALSE)</f>
        <v>4157.7330000000002</v>
      </c>
      <c r="O12">
        <f>VLOOKUP(Tabela4[[#This Row],[ID PSE]],Tabela3[],6,FALSE)</f>
        <v>3446.1750000000002</v>
      </c>
      <c r="P12" t="str">
        <f>VLOOKUP(Tabela4[[#This Row],[ID PNAB]],Tabela3[],8,FALSE)</f>
        <v>log(SERVIDORES)</v>
      </c>
      <c r="Q12" t="str">
        <f>VLOOKUP(Tabela4[[#This Row],[ID PSE]],Tabela3[],8,FALSE)</f>
        <v>-</v>
      </c>
    </row>
    <row r="13" spans="2:18" ht="75" x14ac:dyDescent="0.25">
      <c r="B13">
        <v>5</v>
      </c>
      <c r="C13">
        <v>36</v>
      </c>
      <c r="D13" s="2" t="str">
        <f>VLOOKUP(Tabela4[[#This Row],[ID PNAB]],Tabela3[],3,FALSE)</f>
        <v>scale(log(PIB)) + scale(log(ORC_TOTAL_EMPENHADO)) +  scale(log(DISCR_TX)) + scale(log(SERVIDORES)) + ANO_ELEITORAL_MUNIC</v>
      </c>
      <c r="E13" s="2" t="str">
        <f>VLOOKUP(Tabela4[[#This Row],[ID PSE]],Tabela3[],3,FALSE)</f>
        <v>scale(PIB) + scale(ORC_TOTAL_EMPENHADO) + scale(log(TX_SUCESSO)) + scale(DISCR_TX) + scale(log(INDICE_MNST))</v>
      </c>
      <c r="F13">
        <v>7554.2709999999997</v>
      </c>
      <c r="G13">
        <v>7555.8609999999999</v>
      </c>
      <c r="H13">
        <v>7610.7020000000002</v>
      </c>
      <c r="I13">
        <f>MAX(VLOOKUP(Tabela4[[#This Row],[ID PNAB]],Tabela3[],7,FALSE),VLOOKUP(Tabela4[[#This Row],[ID PSE]],Tabela3[],7,FALSE))</f>
        <v>7.33</v>
      </c>
      <c r="J13">
        <v>-1.3599999999999999E-2</v>
      </c>
      <c r="K13">
        <f>Tabela4[[#This Row],[theta]]/(Tabela4[[#This Row],[theta]]+2)</f>
        <v>-6.84655658477648E-3</v>
      </c>
      <c r="M13">
        <v>10</v>
      </c>
      <c r="N13">
        <f>VLOOKUP(Tabela4[[#This Row],[ID PNAB]],Tabela3[],6,FALSE)</f>
        <v>4158.7839999999997</v>
      </c>
      <c r="O13">
        <f>VLOOKUP(Tabela4[[#This Row],[ID PSE]],Tabela3[],6,FALSE)</f>
        <v>3446.1750000000002</v>
      </c>
      <c r="P13" t="str">
        <f>VLOOKUP(Tabela4[[#This Row],[ID PNAB]],Tabela3[],8,FALSE)</f>
        <v>log(SERVIDORES)</v>
      </c>
      <c r="Q13" t="str">
        <f>VLOOKUP(Tabela4[[#This Row],[ID PSE]],Tabela3[],8,FALSE)</f>
        <v>-</v>
      </c>
    </row>
    <row r="14" spans="2:18" ht="75" x14ac:dyDescent="0.25">
      <c r="B14">
        <v>12</v>
      </c>
      <c r="C14">
        <v>36</v>
      </c>
      <c r="D14" s="2" t="str">
        <f>VLOOKUP(Tabela4[[#This Row],[ID PNAB]],Tabela3[],3,FALSE)</f>
        <v>scale(log(PIB)) + scale(log(ORC_TOTAL_EMPENHADO)) + scale(DISCR_TX)</v>
      </c>
      <c r="E14" s="2" t="str">
        <f>VLOOKUP(Tabela4[[#This Row],[ID PSE]],Tabela3[],3,FALSE)</f>
        <v>scale(PIB) + scale(ORC_TOTAL_EMPENHADO) + scale(log(TX_SUCESSO)) + scale(DISCR_TX) + scale(log(INDICE_MNST))</v>
      </c>
      <c r="F14">
        <v>7596.9809999999998</v>
      </c>
      <c r="G14">
        <v>7598.1790000000001</v>
      </c>
      <c r="H14">
        <v>7645.8879999999999</v>
      </c>
      <c r="I14">
        <f>MAX(VLOOKUP(Tabela4[[#This Row],[ID PNAB]],Tabela3[],7,FALSE),VLOOKUP(Tabela4[[#This Row],[ID PSE]],Tabela3[],7,FALSE))</f>
        <v>4.24</v>
      </c>
      <c r="J14">
        <v>-7.9799999999999996E-2</v>
      </c>
      <c r="K14">
        <f>Tabela4[[#This Row],[theta]]/(Tabela4[[#This Row],[theta]]+2)</f>
        <v>-4.1558171023851682E-2</v>
      </c>
      <c r="M14">
        <v>8</v>
      </c>
      <c r="N14">
        <f>VLOOKUP(Tabela4[[#This Row],[ID PNAB]],Tabela3[],6,FALSE)</f>
        <v>4194.7020000000002</v>
      </c>
      <c r="O14">
        <f>VLOOKUP(Tabela4[[#This Row],[ID PSE]],Tabela3[],6,FALSE)</f>
        <v>3446.1750000000002</v>
      </c>
      <c r="P14" t="str">
        <f>VLOOKUP(Tabela4[[#This Row],[ID PNAB]],Tabela3[],8,FALSE)</f>
        <v>-</v>
      </c>
      <c r="Q14" t="str">
        <f>VLOOKUP(Tabela4[[#This Row],[ID PSE]],Tabela3[],8,FALSE)</f>
        <v>-</v>
      </c>
    </row>
    <row r="15" spans="2:18" ht="75" x14ac:dyDescent="0.25">
      <c r="B15">
        <v>13</v>
      </c>
      <c r="C15">
        <v>55</v>
      </c>
      <c r="D15" s="2" t="str">
        <f>VLOOKUP(Tabela4[[#This Row],[ID PNAB]],Tabela3[],3,FALSE)</f>
        <v>scale(log(PIB)) + scale(log(ORC_TOTAL_EMPENHADO)) + scale(DISCR_TX) + scale(log(SERVIDORES))</v>
      </c>
      <c r="E15" s="2" t="str">
        <f>VLOOKUP(Tabela4[[#This Row],[ID PSE]],Tabela3[],3,FALSE)</f>
        <v>scale(log(PIB)) + scale(log(ORC_TOTAL_EMPENHADO)) + scale(log(TX_SUCESSO)) + scale(log(DISCR_TX)) + scale(log(INDICE_MNST))</v>
      </c>
      <c r="F15">
        <v>7632.5630000000001</v>
      </c>
      <c r="G15">
        <v>7633.9489999999996</v>
      </c>
      <c r="H15">
        <v>7685.232</v>
      </c>
      <c r="I15">
        <f>MAX(VLOOKUP(Tabela4[[#This Row],[ID PNAB]],Tabela3[],7,FALSE),VLOOKUP(Tabela4[[#This Row],[ID PSE]],Tabela3[],7,FALSE))</f>
        <v>5.89</v>
      </c>
      <c r="J15">
        <v>-4.2599999999999999E-2</v>
      </c>
      <c r="K15">
        <f>Tabela4[[#This Row],[theta]]/(Tabela4[[#This Row],[theta]]+2)</f>
        <v>-2.1763563911310922E-2</v>
      </c>
      <c r="M15">
        <v>9</v>
      </c>
      <c r="N15">
        <f>VLOOKUP(Tabela4[[#This Row],[ID PNAB]],Tabela3[],6,FALSE)</f>
        <v>4157.7330000000002</v>
      </c>
      <c r="O15">
        <f>VLOOKUP(Tabela4[[#This Row],[ID PSE]],Tabela3[],6,FALSE)</f>
        <v>3522.42</v>
      </c>
      <c r="P15" t="str">
        <f>VLOOKUP(Tabela4[[#This Row],[ID PNAB]],Tabela3[],8,FALSE)</f>
        <v>log(SERVIDORES)</v>
      </c>
      <c r="Q15" t="str">
        <f>VLOOKUP(Tabela4[[#This Row],[ID PSE]],Tabela3[],8,FALSE)</f>
        <v>scale(log(PIB))</v>
      </c>
    </row>
    <row r="16" spans="2:18" ht="45" x14ac:dyDescent="0.25">
      <c r="B16">
        <v>12</v>
      </c>
      <c r="C16">
        <v>37</v>
      </c>
      <c r="D16" s="2" t="str">
        <f>VLOOKUP(Tabela4[[#This Row],[ID PNAB]],Tabela3[],3,FALSE)</f>
        <v>scale(log(PIB)) + scale(log(ORC_TOTAL_EMPENHADO)) + scale(DISCR_TX)</v>
      </c>
      <c r="E16" s="2" t="str">
        <f>VLOOKUP(Tabela4[[#This Row],[ID PSE]],Tabela3[],3,FALSE)</f>
        <v>scale(PIB) + scale(TX_VETO) + CARREIRAS + log(DISCR_DOTACAO)</v>
      </c>
      <c r="F16">
        <v>7660.32</v>
      </c>
      <c r="G16">
        <v>7661.3429999999998</v>
      </c>
      <c r="H16">
        <v>7705.4650000000001</v>
      </c>
      <c r="I16">
        <f>MAX(VLOOKUP(Tabela4[[#This Row],[ID PNAB]],Tabela3[],7,FALSE),VLOOKUP(Tabela4[[#This Row],[ID PSE]],Tabela3[],7,FALSE))</f>
        <v>3.2</v>
      </c>
      <c r="J16">
        <v>-5.0500000000000003E-2</v>
      </c>
      <c r="K16">
        <f>Tabela4[[#This Row],[theta]]/(Tabela4[[#This Row],[theta]]+2)</f>
        <v>-2.5904077968709926E-2</v>
      </c>
      <c r="L16" t="s">
        <v>18</v>
      </c>
      <c r="M16">
        <v>7</v>
      </c>
      <c r="N16">
        <f>VLOOKUP(Tabela4[[#This Row],[ID PNAB]],Tabela3[],6,FALSE)</f>
        <v>4194.7020000000002</v>
      </c>
      <c r="O16">
        <f>VLOOKUP(Tabela4[[#This Row],[ID PSE]],Tabela3[],6,FALSE)</f>
        <v>3505.3090000000002</v>
      </c>
      <c r="P16" t="str">
        <f>VLOOKUP(Tabela4[[#This Row],[ID PNAB]],Tabela3[],8,FALSE)</f>
        <v>-</v>
      </c>
      <c r="Q16" t="str">
        <f>VLOOKUP(Tabela4[[#This Row],[ID PSE]],Tabela3[],8,FALSE)</f>
        <v>-</v>
      </c>
    </row>
    <row r="17" spans="2:17" ht="45" x14ac:dyDescent="0.25">
      <c r="B17">
        <v>12</v>
      </c>
      <c r="C17">
        <v>41</v>
      </c>
      <c r="D17" s="2" t="str">
        <f>VLOOKUP(Tabela4[[#This Row],[ID PNAB]],Tabela3[],3,FALSE)</f>
        <v>scale(log(PIB)) + scale(log(ORC_TOTAL_EMPENHADO)) + scale(DISCR_TX)</v>
      </c>
      <c r="E17" s="2" t="str">
        <f>VLOOKUP(Tabela4[[#This Row],[ID PSE]],Tabela3[],3,FALSE)</f>
        <v>scale(log(PIB)) + scale(log(ORC_TOTAL_EMPENHADO)) + scale(DISCR_TX)</v>
      </c>
      <c r="F17">
        <v>7991.05</v>
      </c>
      <c r="G17">
        <v>7991.9129999999996</v>
      </c>
      <c r="H17">
        <v>8032.433</v>
      </c>
      <c r="I17">
        <f>MAX(VLOOKUP(Tabela4[[#This Row],[ID PNAB]],Tabela3[],7,FALSE),VLOOKUP(Tabela4[[#This Row],[ID PSE]],Tabela3[],7,FALSE))</f>
        <v>1.68</v>
      </c>
      <c r="J17">
        <v>-2.5000000000000001E-2</v>
      </c>
      <c r="K17">
        <f>Tabela4[[#This Row],[theta]]/(Tabela4[[#This Row],[theta]]+2)</f>
        <v>-1.2658227848101266E-2</v>
      </c>
      <c r="M17">
        <v>6</v>
      </c>
      <c r="N17">
        <f>VLOOKUP(Tabela4[[#This Row],[ID PNAB]],Tabela3[],6,FALSE)</f>
        <v>4194.7020000000002</v>
      </c>
      <c r="O17">
        <f>VLOOKUP(Tabela4[[#This Row],[ID PSE]],Tabela3[],6,FALSE)</f>
        <v>3832.1619999999998</v>
      </c>
      <c r="P17" t="str">
        <f>VLOOKUP(Tabela4[[#This Row],[ID PNAB]],Tabela3[],8,FALSE)</f>
        <v>-</v>
      </c>
      <c r="Q17" t="str">
        <f>VLOOKUP(Tabela4[[#This Row],[ID PSE]],Tabela3[],8,FALSE)</f>
        <v>scale(log(PIB))</v>
      </c>
    </row>
    <row r="18" spans="2:17" ht="45" x14ac:dyDescent="0.25">
      <c r="B18">
        <v>12</v>
      </c>
      <c r="C18">
        <v>40</v>
      </c>
      <c r="D18" s="2" t="str">
        <f>VLOOKUP(Tabela4[[#This Row],[ID PNAB]],Tabela3[],3,FALSE)</f>
        <v>scale(log(PIB)) + scale(log(ORC_TOTAL_EMPENHADO)) + scale(DISCR_TX)</v>
      </c>
      <c r="E18" s="2" t="str">
        <f>VLOOKUP(Tabela4[[#This Row],[ID PSE]],Tabela3[],3,FALSE)</f>
        <v>scale(log(PIB)) + scale(log(ORC_TOTAL_EMPENHADO)) + IDEOL_PRSD</v>
      </c>
      <c r="F18">
        <v>8101.6769999999997</v>
      </c>
      <c r="G18">
        <v>8102.54</v>
      </c>
      <c r="H18">
        <v>8143.06</v>
      </c>
      <c r="I18">
        <f>MAX(VLOOKUP(Tabela4[[#This Row],[ID PNAB]],Tabela3[],7,FALSE),VLOOKUP(Tabela4[[#This Row],[ID PSE]],Tabela3[],7,FALSE))</f>
        <v>1.79</v>
      </c>
      <c r="J18">
        <v>-7.5200000000000003E-2</v>
      </c>
      <c r="K18">
        <f>Tabela4[[#This Row],[theta]]/(Tabela4[[#This Row],[theta]]+2)</f>
        <v>-3.906899418121363E-2</v>
      </c>
      <c r="L18" t="s">
        <v>18</v>
      </c>
      <c r="M18">
        <v>6</v>
      </c>
      <c r="N18">
        <f>VLOOKUP(Tabela4[[#This Row],[ID PNAB]],Tabela3[],6,FALSE)</f>
        <v>4194.7020000000002</v>
      </c>
      <c r="O18">
        <f>VLOOKUP(Tabela4[[#This Row],[ID PSE]],Tabela3[],6,FALSE)</f>
        <v>3943.2280000000001</v>
      </c>
      <c r="P18" t="str">
        <f>VLOOKUP(Tabela4[[#This Row],[ID PNAB]],Tabela3[],8,FALSE)</f>
        <v>-</v>
      </c>
      <c r="Q18" t="str">
        <f>VLOOKUP(Tabela4[[#This Row],[ID PSE]],Tabela3[],8,FALSE)</f>
        <v>scale(log(PIB))</v>
      </c>
    </row>
    <row r="19" spans="2:17" ht="45" x14ac:dyDescent="0.25">
      <c r="B19">
        <v>6</v>
      </c>
      <c r="C19">
        <v>40</v>
      </c>
      <c r="D19" s="2" t="str">
        <f>VLOOKUP(Tabela4[[#This Row],[ID PNAB]],Tabela3[],3,FALSE)</f>
        <v>scale(log(PIB)) + scale(log(ORC_TOTAL_EMPENHADO)) + IDEOL_PRSD</v>
      </c>
      <c r="E19" s="2" t="str">
        <f>VLOOKUP(Tabela4[[#This Row],[ID PSE]],Tabela3[],3,FALSE)</f>
        <v>scale(log(PIB)) + scale(log(ORC_TOTAL_EMPENHADO)) + IDEOL_PRSD</v>
      </c>
      <c r="F19">
        <v>8104.5479999999998</v>
      </c>
      <c r="G19">
        <v>8105.4110000000001</v>
      </c>
      <c r="H19">
        <v>8145.9309999999996</v>
      </c>
      <c r="I19">
        <f>MAX(VLOOKUP(Tabela4[[#This Row],[ID PNAB]],Tabela3[],7,FALSE),VLOOKUP(Tabela4[[#This Row],[ID PSE]],Tabela3[],7,FALSE))</f>
        <v>2.14</v>
      </c>
      <c r="J19">
        <v>-2.6100000000000002E-2</v>
      </c>
      <c r="K19">
        <f>Tabela4[[#This Row],[theta]]/(Tabela4[[#This Row],[theta]]+2)</f>
        <v>-1.3222554334059477E-2</v>
      </c>
      <c r="L19" t="s">
        <v>18</v>
      </c>
      <c r="M19">
        <v>6</v>
      </c>
      <c r="N19">
        <f>VLOOKUP(Tabela4[[#This Row],[ID PNAB]],Tabela3[],6,FALSE)</f>
        <v>4197.0150000000003</v>
      </c>
      <c r="O19">
        <f>VLOOKUP(Tabela4[[#This Row],[ID PSE]],Tabela3[],6,FALSE)</f>
        <v>3943.2280000000001</v>
      </c>
      <c r="P19" t="str">
        <f>VLOOKUP(Tabela4[[#This Row],[ID PNAB]],Tabela3[],8,FALSE)</f>
        <v>-</v>
      </c>
      <c r="Q19" t="str">
        <f>VLOOKUP(Tabela4[[#This Row],[ID PSE]],Tabela3[],8,FALSE)</f>
        <v>scale(log(PIB))</v>
      </c>
    </row>
    <row r="20" spans="2:17" ht="45" x14ac:dyDescent="0.25">
      <c r="B20">
        <v>12</v>
      </c>
      <c r="C20">
        <v>23</v>
      </c>
      <c r="D20" s="2" t="str">
        <f>VLOOKUP(Tabela4[[#This Row],[ID PNAB]],Tabela3[],3,FALSE)</f>
        <v>scale(log(PIB)) + scale(log(ORC_TOTAL_EMPENHADO)) + scale(DISCR_TX)</v>
      </c>
      <c r="E20" s="2" t="str">
        <f>VLOOKUP(Tabela4[[#This Row],[ID PSE]],Tabela3[],3,FALSE)</f>
        <v>scale(log(PIB)) + scale(ORC_TOTAL_EMPENHADO) + IDEOL_PRSD</v>
      </c>
      <c r="F20">
        <v>8196.9760000000006</v>
      </c>
      <c r="G20">
        <v>8197.8389999999999</v>
      </c>
      <c r="H20">
        <v>8238.3580000000002</v>
      </c>
      <c r="I20">
        <f>MAX(VLOOKUP(Tabela4[[#This Row],[ID PNAB]],Tabela3[],7,FALSE),VLOOKUP(Tabela4[[#This Row],[ID PSE]],Tabela3[],7,FALSE))</f>
        <v>1.91</v>
      </c>
      <c r="J20">
        <v>-5.96E-2</v>
      </c>
      <c r="K20">
        <f>Tabela4[[#This Row],[theta]]/(Tabela4[[#This Row],[theta]]+2)</f>
        <v>-3.0715316429602145E-2</v>
      </c>
      <c r="L20" t="s">
        <v>61</v>
      </c>
      <c r="M20">
        <v>6</v>
      </c>
      <c r="N20">
        <f>VLOOKUP(Tabela4[[#This Row],[ID PNAB]],Tabela3[],6,FALSE)</f>
        <v>4194.7020000000002</v>
      </c>
      <c r="O20">
        <f>VLOOKUP(Tabela4[[#This Row],[ID PSE]],Tabela3[],6,FALSE)</f>
        <v>4038.1149999999998</v>
      </c>
      <c r="P20" t="str">
        <f>VLOOKUP(Tabela4[[#This Row],[ID PNAB]],Tabela3[],8,FALSE)</f>
        <v>-</v>
      </c>
      <c r="Q20" t="str">
        <f>VLOOKUP(Tabela4[[#This Row],[ID PSE]],Tabela3[],8,FALSE)</f>
        <v>scale(log(PIB))</v>
      </c>
    </row>
    <row r="21" spans="2:17" ht="45" x14ac:dyDescent="0.25">
      <c r="B21">
        <v>12</v>
      </c>
      <c r="C21">
        <v>45</v>
      </c>
      <c r="D21" s="2" t="str">
        <f>VLOOKUP(Tabela4[[#This Row],[ID PNAB]],Tabela3[],3,FALSE)</f>
        <v>scale(log(PIB)) + scale(log(ORC_TOTAL_EMPENHADO)) + scale(DISCR_TX)</v>
      </c>
      <c r="E21" s="2" t="str">
        <f>VLOOKUP(Tabela4[[#This Row],[ID PSE]],Tabela3[],3,FALSE)</f>
        <v>scale(PIB) + scale(log(ORC_TOTAL_EMPENHADO)) + scale(INDICE_MNST)</v>
      </c>
      <c r="F21">
        <v>8317.2289999999994</v>
      </c>
      <c r="G21">
        <v>8318.0910000000003</v>
      </c>
      <c r="H21">
        <v>8358.6110000000008</v>
      </c>
      <c r="I21">
        <f>MAX(VLOOKUP(Tabela4[[#This Row],[ID PNAB]],Tabela3[],7,FALSE),VLOOKUP(Tabela4[[#This Row],[ID PSE]],Tabela3[],7,FALSE))</f>
        <v>1.68</v>
      </c>
      <c r="J21">
        <v>-0.1555</v>
      </c>
      <c r="K21">
        <f>Tabela4[[#This Row],[theta]]/(Tabela4[[#This Row],[theta]]+2)</f>
        <v>-8.4304689617782591E-2</v>
      </c>
      <c r="M21">
        <v>6</v>
      </c>
      <c r="N21">
        <f>VLOOKUP(Tabela4[[#This Row],[ID PNAB]],Tabela3[],6,FALSE)</f>
        <v>4194.7020000000002</v>
      </c>
      <c r="O21">
        <f>VLOOKUP(Tabela4[[#This Row],[ID PSE]],Tabela3[],6,FALSE)</f>
        <v>4161.8549999999996</v>
      </c>
      <c r="P21" t="str">
        <f>VLOOKUP(Tabela4[[#This Row],[ID PNAB]],Tabela3[],8,FALSE)</f>
        <v>-</v>
      </c>
      <c r="Q21" t="str">
        <f>VLOOKUP(Tabela4[[#This Row],[ID PSE]],Tabela3[],8,FALSE)</f>
        <v>-</v>
      </c>
    </row>
    <row r="22" spans="2:17" ht="45" x14ac:dyDescent="0.25">
      <c r="B22">
        <v>50</v>
      </c>
      <c r="C22">
        <v>52</v>
      </c>
      <c r="D22" s="2" t="str">
        <f>VLOOKUP(Tabela4[[#This Row],[ID PNAB]],Tabela3[],3,FALSE)</f>
        <v>scale(log(PIB)) + scale(log(ORC_TOTAL_EMPENHADO)) + scale(log(DISCR_TX))</v>
      </c>
      <c r="E22" s="2" t="str">
        <f>VLOOKUP(Tabela4[[#This Row],[ID PSE]],Tabela3[],3,FALSE)</f>
        <v>scale(log(PIB)) + scale(TX_VETO) + scale(log(DISCR_TX))</v>
      </c>
      <c r="F22">
        <v>8328.5310000000009</v>
      </c>
      <c r="G22">
        <v>8329.3940000000002</v>
      </c>
      <c r="H22">
        <v>8369.9130000000005</v>
      </c>
      <c r="I22">
        <f>MAX(VLOOKUP(Tabela4[[#This Row],[ID PNAB]],Tabela3[],7,FALSE),VLOOKUP(Tabela4[[#This Row],[ID PSE]],Tabela3[],7,FALSE))</f>
        <v>1.78</v>
      </c>
      <c r="J22">
        <v>0.21629999999999999</v>
      </c>
      <c r="K22">
        <f>Tabela4[[#This Row],[theta]]/(Tabela4[[#This Row],[theta]]+2)</f>
        <v>9.7595090917294583E-2</v>
      </c>
      <c r="M22">
        <v>6</v>
      </c>
      <c r="N22">
        <f>VLOOKUP(Tabela4[[#This Row],[ID PNAB]],Tabela3[],6,FALSE)</f>
        <v>4196.0240000000003</v>
      </c>
      <c r="O22">
        <f>VLOOKUP(Tabela4[[#This Row],[ID PSE]],Tabela3[],6,FALSE)</f>
        <v>4169.2960000000003</v>
      </c>
      <c r="P22" t="str">
        <f>VLOOKUP(Tabela4[[#This Row],[ID PNAB]],Tabela3[],8,FALSE)</f>
        <v>-</v>
      </c>
      <c r="Q22" t="str">
        <f>VLOOKUP(Tabela4[[#This Row],[ID PSE]],Tabela3[],8,FALSE)</f>
        <v>log(DISCR_TX)</v>
      </c>
    </row>
    <row r="23" spans="2:17" ht="45" x14ac:dyDescent="0.25">
      <c r="B23">
        <v>63</v>
      </c>
      <c r="C23">
        <v>51</v>
      </c>
      <c r="D23" s="2" t="str">
        <f>VLOOKUP(Tabela4[[#This Row],[ID PNAB]],Tabela3[],3,FALSE)</f>
        <v>scale(log(PIB)) + scale(log(ORC_TOTAL_EMPENHADO)) + scale(log(TAM_PROP_BASE))</v>
      </c>
      <c r="E23" s="2" t="str">
        <f>VLOOKUP(Tabela4[[#This Row],[ID PSE]],Tabela3[],3,FALSE)</f>
        <v>scale(log(PIB)) + scale(TX_VETO) + scale(DISCR_TX)</v>
      </c>
      <c r="F23">
        <v>8328.8490000000002</v>
      </c>
      <c r="G23">
        <v>8329.7119999999995</v>
      </c>
      <c r="H23">
        <v>8370.2309999999998</v>
      </c>
      <c r="I23">
        <f>MAX(VLOOKUP(Tabela4[[#This Row],[ID PNAB]],Tabela3[],7,FALSE),VLOOKUP(Tabela4[[#This Row],[ID PSE]],Tabela3[],7,FALSE))</f>
        <v>2.38</v>
      </c>
      <c r="J23">
        <v>0.55940000000000001</v>
      </c>
      <c r="K23">
        <f>Tabela4[[#This Row],[theta]]/(Tabela4[[#This Row],[theta]]+2)</f>
        <v>0.2185668516058451</v>
      </c>
      <c r="M23">
        <v>6</v>
      </c>
      <c r="N23">
        <f>VLOOKUP(Tabela4[[#This Row],[ID PNAB]],Tabela3[],6,FALSE)</f>
        <v>4197.2219999999998</v>
      </c>
      <c r="O23">
        <f>VLOOKUP(Tabela4[[#This Row],[ID PSE]],Tabela3[],6,FALSE)</f>
        <v>4170.84</v>
      </c>
      <c r="P23" t="str">
        <f>VLOOKUP(Tabela4[[#This Row],[ID PNAB]],Tabela3[],8,FALSE)</f>
        <v>-</v>
      </c>
      <c r="Q23" t="str">
        <f>VLOOKUP(Tabela4[[#This Row],[ID PSE]],Tabela3[],8,FALSE)</f>
        <v>scale(DISCR_TX)</v>
      </c>
    </row>
    <row r="24" spans="2:17" ht="45" x14ac:dyDescent="0.25">
      <c r="B24">
        <v>50</v>
      </c>
      <c r="C24">
        <v>51</v>
      </c>
      <c r="D24" s="2" t="str">
        <f>VLOOKUP(Tabela4[[#This Row],[ID PNAB]],Tabela3[],3,FALSE)</f>
        <v>scale(log(PIB)) + scale(log(ORC_TOTAL_EMPENHADO)) + scale(log(DISCR_TX))</v>
      </c>
      <c r="E24" s="2" t="str">
        <f>VLOOKUP(Tabela4[[#This Row],[ID PSE]],Tabela3[],3,FALSE)</f>
        <v>scale(log(PIB)) + scale(TX_VETO) + scale(DISCR_TX)</v>
      </c>
      <c r="F24">
        <v>8330.2610000000004</v>
      </c>
      <c r="G24">
        <v>8331.1229999999996</v>
      </c>
      <c r="H24">
        <v>8371.643</v>
      </c>
      <c r="I24">
        <f>MAX(VLOOKUP(Tabela4[[#This Row],[ID PNAB]],Tabela3[],7,FALSE),VLOOKUP(Tabela4[[#This Row],[ID PSE]],Tabela3[],7,FALSE))</f>
        <v>1.87</v>
      </c>
      <c r="J24">
        <v>0.1757</v>
      </c>
      <c r="K24">
        <f>Tabela4[[#This Row],[theta]]/(Tabela4[[#This Row],[theta]]+2)</f>
        <v>8.0755618881279592E-2</v>
      </c>
      <c r="M24">
        <v>6</v>
      </c>
      <c r="N24">
        <f>VLOOKUP(Tabela4[[#This Row],[ID PNAB]],Tabela3[],6,FALSE)</f>
        <v>4196.0240000000003</v>
      </c>
      <c r="O24">
        <f>VLOOKUP(Tabela4[[#This Row],[ID PSE]],Tabela3[],6,FALSE)</f>
        <v>4170.84</v>
      </c>
      <c r="P24" t="str">
        <f>VLOOKUP(Tabela4[[#This Row],[ID PNAB]],Tabela3[],8,FALSE)</f>
        <v>-</v>
      </c>
      <c r="Q24" t="str">
        <f>VLOOKUP(Tabela4[[#This Row],[ID PSE]],Tabela3[],8,FALSE)</f>
        <v>scale(DISCR_TX)</v>
      </c>
    </row>
    <row r="25" spans="2:17" ht="45" x14ac:dyDescent="0.25">
      <c r="B25">
        <v>63</v>
      </c>
      <c r="C25">
        <v>43</v>
      </c>
      <c r="D25" s="2" t="str">
        <f>VLOOKUP(Tabela4[[#This Row],[ID PNAB]],Tabela3[],3,FALSE)</f>
        <v>scale(log(PIB)) + scale(log(ORC_TOTAL_EMPENHADO)) + scale(log(TAM_PROP_BASE))</v>
      </c>
      <c r="E25" s="2" t="str">
        <f>VLOOKUP(Tabela4[[#This Row],[ID PSE]],Tabela3[],3,FALSE)</f>
        <v>scale(log(PIB)) + scale(TX_VETO) + scale(log(DISCR_DOTACAO))</v>
      </c>
      <c r="F25">
        <v>8348.3269999999993</v>
      </c>
      <c r="G25">
        <v>8349.19</v>
      </c>
      <c r="H25">
        <v>8389.7099999999991</v>
      </c>
      <c r="I25">
        <f>MAX(VLOOKUP(Tabela4[[#This Row],[ID PNAB]],Tabela3[],7,FALSE),VLOOKUP(Tabela4[[#This Row],[ID PSE]],Tabela3[],7,FALSE))</f>
        <v>2.38</v>
      </c>
      <c r="J25">
        <v>0.97499999999999998</v>
      </c>
      <c r="K25">
        <f>Tabela4[[#This Row],[theta]]/(Tabela4[[#This Row],[theta]]+2)</f>
        <v>0.32773109243697479</v>
      </c>
      <c r="M25">
        <v>6</v>
      </c>
      <c r="N25">
        <f>VLOOKUP(Tabela4[[#This Row],[ID PNAB]],Tabela3[],6,FALSE)</f>
        <v>4197.2219999999998</v>
      </c>
      <c r="O25">
        <f>VLOOKUP(Tabela4[[#This Row],[ID PSE]],Tabela3[],6,FALSE)</f>
        <v>4201.26</v>
      </c>
      <c r="P25" t="str">
        <f>VLOOKUP(Tabela4[[#This Row],[ID PNAB]],Tabela3[],8,FALSE)</f>
        <v>-</v>
      </c>
      <c r="Q25" t="str">
        <f>VLOOKUP(Tabela4[[#This Row],[ID PSE]],Tabela3[],8,FALSE)</f>
        <v>-</v>
      </c>
    </row>
    <row r="26" spans="2:17" ht="45" x14ac:dyDescent="0.25">
      <c r="B26">
        <v>12</v>
      </c>
      <c r="C26">
        <v>42</v>
      </c>
      <c r="D26" s="2" t="str">
        <f>VLOOKUP(Tabela4[[#This Row],[ID PNAB]],Tabela3[],3,FALSE)</f>
        <v>scale(log(PIB)) + scale(log(ORC_TOTAL_EMPENHADO)) + scale(DISCR_TX)</v>
      </c>
      <c r="E26" s="2" t="str">
        <f>VLOOKUP(Tabela4[[#This Row],[ID PSE]],Tabela3[],3,FALSE)</f>
        <v>scale(PIB) + scale(TX_VETO) + scale(log(DISCR_DOTACAO))</v>
      </c>
      <c r="F26">
        <v>8349.49</v>
      </c>
      <c r="G26">
        <v>8350.3529999999992</v>
      </c>
      <c r="H26">
        <v>8390.8729999999996</v>
      </c>
      <c r="I26">
        <f>MAX(VLOOKUP(Tabela4[[#This Row],[ID PNAB]],Tabela3[],7,FALSE),VLOOKUP(Tabela4[[#This Row],[ID PSE]],Tabela3[],7,FALSE))</f>
        <v>2.0099999999999998</v>
      </c>
      <c r="J26">
        <v>0.85719999999999996</v>
      </c>
      <c r="K26">
        <f>Tabela4[[#This Row],[theta]]/(Tabela4[[#This Row],[theta]]+2)</f>
        <v>0.30001399972000559</v>
      </c>
      <c r="L26" t="s">
        <v>63</v>
      </c>
      <c r="M26">
        <v>6</v>
      </c>
      <c r="N26">
        <f>VLOOKUP(Tabela4[[#This Row],[ID PNAB]],Tabela3[],6,FALSE)</f>
        <v>4194.7020000000002</v>
      </c>
      <c r="O26">
        <f>VLOOKUP(Tabela4[[#This Row],[ID PSE]],Tabela3[],6,FALSE)</f>
        <v>4201.5349999999999</v>
      </c>
      <c r="P26" t="str">
        <f>VLOOKUP(Tabela4[[#This Row],[ID PNAB]],Tabela3[],8,FALSE)</f>
        <v>-</v>
      </c>
      <c r="Q26" t="str">
        <f>VLOOKUP(Tabela4[[#This Row],[ID PSE]],Tabela3[],8,FALSE)</f>
        <v>scale(PIB)</v>
      </c>
    </row>
    <row r="27" spans="2:17" ht="45" x14ac:dyDescent="0.25">
      <c r="B27">
        <v>50</v>
      </c>
      <c r="C27">
        <v>43</v>
      </c>
      <c r="D27" s="2" t="str">
        <f>VLOOKUP(Tabela4[[#This Row],[ID PNAB]],Tabela3[],3,FALSE)</f>
        <v>scale(log(PIB)) + scale(log(ORC_TOTAL_EMPENHADO)) + scale(log(DISCR_TX))</v>
      </c>
      <c r="E27" s="2" t="str">
        <f>VLOOKUP(Tabela4[[#This Row],[ID PSE]],Tabela3[],3,FALSE)</f>
        <v>scale(log(PIB)) + scale(TX_VETO) + scale(log(DISCR_DOTACAO))</v>
      </c>
      <c r="F27">
        <v>8350.7569999999996</v>
      </c>
      <c r="G27">
        <v>8351.6200000000008</v>
      </c>
      <c r="H27">
        <v>8392.1389999999992</v>
      </c>
      <c r="I27">
        <f>MAX(VLOOKUP(Tabela4[[#This Row],[ID PNAB]],Tabela3[],7,FALSE),VLOOKUP(Tabela4[[#This Row],[ID PSE]],Tabela3[],7,FALSE))</f>
        <v>2.04</v>
      </c>
      <c r="J27">
        <v>0.83750000000000002</v>
      </c>
      <c r="K27">
        <f>Tabela4[[#This Row],[theta]]/(Tabela4[[#This Row],[theta]]+2)</f>
        <v>0.29515418502202645</v>
      </c>
      <c r="L27" t="s">
        <v>63</v>
      </c>
      <c r="M27">
        <v>6</v>
      </c>
      <c r="N27">
        <f>VLOOKUP(Tabela4[[#This Row],[ID PNAB]],Tabela3[],6,FALSE)</f>
        <v>4196.0240000000003</v>
      </c>
      <c r="O27">
        <f>VLOOKUP(Tabela4[[#This Row],[ID PSE]],Tabela3[],6,FALSE)</f>
        <v>4201.26</v>
      </c>
      <c r="P27" t="str">
        <f>VLOOKUP(Tabela4[[#This Row],[ID PNAB]],Tabela3[],8,FALSE)</f>
        <v>-</v>
      </c>
      <c r="Q27" t="str">
        <f>VLOOKUP(Tabela4[[#This Row],[ID PSE]],Tabela3[],8,FALSE)</f>
        <v>-</v>
      </c>
    </row>
    <row r="28" spans="2:17" ht="45" x14ac:dyDescent="0.25">
      <c r="B28">
        <v>53</v>
      </c>
      <c r="C28">
        <v>43</v>
      </c>
      <c r="D28" s="2" t="str">
        <f>VLOOKUP(Tabela4[[#This Row],[ID PNAB]],Tabela3[],3,FALSE)</f>
        <v>scale(log(PIB)) + scale(log(ORC_TOTAL_EMPENHADO)) + scale(log(DISCR_DOTACAO))</v>
      </c>
      <c r="E28" s="2" t="str">
        <f>VLOOKUP(Tabela4[[#This Row],[ID PSE]],Tabela3[],3,FALSE)</f>
        <v>scale(log(PIB)) + scale(TX_VETO) + scale(log(DISCR_DOTACAO))</v>
      </c>
      <c r="F28">
        <v>8367.0990000000002</v>
      </c>
      <c r="G28">
        <v>8367.9609999999993</v>
      </c>
      <c r="H28">
        <v>8408.4809999999998</v>
      </c>
      <c r="I28">
        <f>MAX(VLOOKUP(Tabela4[[#This Row],[ID PNAB]],Tabela3[],7,FALSE),VLOOKUP(Tabela4[[#This Row],[ID PSE]],Tabela3[],7,FALSE))</f>
        <v>20</v>
      </c>
      <c r="J28">
        <v>5.3900000000000003E-2</v>
      </c>
      <c r="K28">
        <f>Tabela4[[#This Row],[theta]]/(Tabela4[[#This Row],[theta]]+2)</f>
        <v>2.6242757680510251E-2</v>
      </c>
      <c r="M28">
        <v>6</v>
      </c>
      <c r="N28">
        <f>VLOOKUP(Tabela4[[#This Row],[ID PNAB]],Tabela3[],6,FALSE)</f>
        <v>4201.5420000000004</v>
      </c>
      <c r="O28">
        <f>VLOOKUP(Tabela4[[#This Row],[ID PSE]],Tabela3[],6,FALSE)</f>
        <v>4201.26</v>
      </c>
      <c r="P28" t="str">
        <f>VLOOKUP(Tabela4[[#This Row],[ID PNAB]],Tabela3[],8,FALSE)</f>
        <v>descarte</v>
      </c>
      <c r="Q28" t="str">
        <f>VLOOKUP(Tabela4[[#This Row],[ID PSE]],Tabela3[],8,FALSE)</f>
        <v>-</v>
      </c>
    </row>
    <row r="29" spans="2:17" ht="45" x14ac:dyDescent="0.25">
      <c r="B29">
        <v>63</v>
      </c>
      <c r="C29">
        <v>67</v>
      </c>
      <c r="D29" s="2" t="str">
        <f>VLOOKUP(Tabela4[[#This Row],[ID PNAB]],Tabela3[],3,FALSE)</f>
        <v>scale(log(PIB)) + scale(log(ORC_TOTAL_EMPENHADO)) + scale(log(TAM_PROP_BASE))</v>
      </c>
      <c r="E29" s="2" t="str">
        <f>VLOOKUP(Tabela4[[#This Row],[ID PSE]],Tabela3[],3,FALSE)</f>
        <v>scale(log(PIB)) + scale(TX_VETO) + scale(IDEOL_PRSD)</v>
      </c>
      <c r="F29">
        <v>8381.2579999999998</v>
      </c>
      <c r="G29">
        <v>8382.1209999999992</v>
      </c>
      <c r="H29">
        <v>8422.6409999999996</v>
      </c>
      <c r="I29">
        <f>MAX(VLOOKUP(Tabela4[[#This Row],[ID PNAB]],Tabela3[],7,FALSE),VLOOKUP(Tabela4[[#This Row],[ID PSE]],Tabela3[],7,FALSE))</f>
        <v>20</v>
      </c>
      <c r="J29">
        <v>5.28E-2</v>
      </c>
      <c r="K29">
        <f>Tabela4[[#This Row],[theta]]/(Tabela4[[#This Row],[theta]]+2)</f>
        <v>2.5720966484801249E-2</v>
      </c>
      <c r="M29">
        <v>6</v>
      </c>
      <c r="N29">
        <f>VLOOKUP(Tabela4[[#This Row],[ID PNAB]],Tabela3[],6,FALSE)</f>
        <v>4197.2219999999998</v>
      </c>
      <c r="O29">
        <f>VLOOKUP(Tabela4[[#This Row],[ID PSE]],Tabela3[],6,FALSE)</f>
        <v>4220.3810000000003</v>
      </c>
      <c r="P29" t="str">
        <f>VLOOKUP(Tabela4[[#This Row],[ID PNAB]],Tabela3[],8,FALSE)</f>
        <v>-</v>
      </c>
      <c r="Q29" t="str">
        <f>VLOOKUP(Tabela4[[#This Row],[ID PSE]],Tabela3[],8,FALSE)</f>
        <v>descarte</v>
      </c>
    </row>
    <row r="30" spans="2:17" ht="30" x14ac:dyDescent="0.25">
      <c r="B30">
        <v>4</v>
      </c>
      <c r="C30">
        <v>22</v>
      </c>
      <c r="D30" s="2" t="str">
        <f>VLOOKUP(Tabela4[[#This Row],[ID PNAB]],Tabela3[],3,FALSE)</f>
        <v>scale(log(PIB)) + scale(log(ORC_TOTAL_EMPENHADO))</v>
      </c>
      <c r="E30" s="2" t="str">
        <f>VLOOKUP(Tabela4[[#This Row],[ID PSE]],Tabela3[],3,FALSE)</f>
        <v>scale(log(PIB)) + scale(log(TX_VETO))</v>
      </c>
      <c r="F30">
        <v>8422.8970000000008</v>
      </c>
      <c r="G30">
        <v>8423.4809999999998</v>
      </c>
      <c r="H30">
        <v>8456.7549999999992</v>
      </c>
      <c r="I30">
        <f>MAX(VLOOKUP(Tabela4[[#This Row],[ID PNAB]],Tabela3[],7,FALSE),VLOOKUP(Tabela4[[#This Row],[ID PSE]],Tabela3[],7,FALSE))</f>
        <v>1.67</v>
      </c>
      <c r="J30">
        <v>2.24E-2</v>
      </c>
      <c r="K30">
        <f>Tabela4[[#This Row],[theta]]/(Tabela4[[#This Row],[theta]]+2)</f>
        <v>1.1075949367088606E-2</v>
      </c>
      <c r="L30" t="s">
        <v>63</v>
      </c>
      <c r="M30">
        <v>4</v>
      </c>
      <c r="N30">
        <f>VLOOKUP(Tabela4[[#This Row],[ID PNAB]],Tabela3[],6,FALSE)</f>
        <v>4284.4799999999996</v>
      </c>
      <c r="O30">
        <f>VLOOKUP(Tabela4[[#This Row],[ID PSE]],Tabela3[],6,FALSE)</f>
        <v>4166.8059999999996</v>
      </c>
      <c r="P30" t="str">
        <f>VLOOKUP(Tabela4[[#This Row],[ID PNAB]],Tabela3[],8,FALSE)</f>
        <v>-</v>
      </c>
      <c r="Q30" t="str">
        <f>VLOOKUP(Tabela4[[#This Row],[ID PSE]],Tabela3[],8,FALSE)</f>
        <v>-</v>
      </c>
    </row>
    <row r="31" spans="2:17" ht="30" x14ac:dyDescent="0.25">
      <c r="B31">
        <v>4</v>
      </c>
      <c r="C31">
        <v>51</v>
      </c>
      <c r="D31" s="2" t="str">
        <f>VLOOKUP(Tabela4[[#This Row],[ID PNAB]],Tabela3[],3,FALSE)</f>
        <v>scale(log(PIB)) + scale(log(ORC_TOTAL_EMPENHADO))</v>
      </c>
      <c r="E31" s="2" t="str">
        <f>VLOOKUP(Tabela4[[#This Row],[ID PSE]],Tabela3[],3,FALSE)</f>
        <v>scale(log(PIB)) + scale(TX_VETO) + scale(DISCR_TX)</v>
      </c>
      <c r="F31">
        <v>8423.2749999999996</v>
      </c>
      <c r="G31">
        <v>8423.9920000000002</v>
      </c>
      <c r="H31">
        <v>8460.8960000000006</v>
      </c>
      <c r="I31">
        <f>MAX(VLOOKUP(Tabela4[[#This Row],[ID PNAB]],Tabela3[],7,FALSE),VLOOKUP(Tabela4[[#This Row],[ID PSE]],Tabela3[],7,FALSE))</f>
        <v>1.87</v>
      </c>
      <c r="J31">
        <v>4.3400000000000001E-2</v>
      </c>
      <c r="K31">
        <f>Tabela4[[#This Row],[theta]]/(Tabela4[[#This Row],[theta]]+2)</f>
        <v>2.1239111285113046E-2</v>
      </c>
      <c r="L31" t="s">
        <v>18</v>
      </c>
      <c r="M31">
        <v>5</v>
      </c>
      <c r="N31">
        <f>VLOOKUP(Tabela4[[#This Row],[ID PNAB]],Tabela3[],6,FALSE)</f>
        <v>4284.4799999999996</v>
      </c>
      <c r="O31">
        <f>VLOOKUP(Tabela4[[#This Row],[ID PSE]],Tabela3[],6,FALSE)</f>
        <v>4170.84</v>
      </c>
      <c r="P31" t="str">
        <f>VLOOKUP(Tabela4[[#This Row],[ID PNAB]],Tabela3[],8,FALSE)</f>
        <v>-</v>
      </c>
      <c r="Q31" t="str">
        <f>VLOOKUP(Tabela4[[#This Row],[ID PSE]],Tabela3[],8,FALSE)</f>
        <v>scale(DISCR_TX)</v>
      </c>
    </row>
    <row r="32" spans="2:17" x14ac:dyDescent="0.25">
      <c r="B32">
        <v>58</v>
      </c>
      <c r="C32">
        <v>59</v>
      </c>
      <c r="D32" s="2" t="str">
        <f>VLOOKUP(Tabela4[[#This Row],[ID PNAB]],Tabela3[],3,FALSE)</f>
        <v>scale(log(DISCR_EMPENHADO))</v>
      </c>
      <c r="E32" s="2" t="str">
        <f>VLOOKUP(Tabela4[[#This Row],[ID PSE]],Tabela3[],3,FALSE)</f>
        <v>scale(log(DISCR_EMPENHADO))</v>
      </c>
      <c r="F32">
        <v>8489.4410000000007</v>
      </c>
      <c r="H32">
        <v>8523.2999999999993</v>
      </c>
      <c r="I32">
        <f>MAX(VLOOKUP(Tabela4[[#This Row],[ID PNAB]],Tabela3[],7,FALSE),VLOOKUP(Tabela4[[#This Row],[ID PSE]],Tabela3[],7,FALSE))</f>
        <v>0</v>
      </c>
      <c r="J32">
        <v>0.37959999999999999</v>
      </c>
      <c r="K32">
        <f>Tabela4[[#This Row],[theta]]/(Tabela4[[#This Row],[theta]]+2)</f>
        <v>0.15952260884182215</v>
      </c>
      <c r="M32">
        <v>2</v>
      </c>
      <c r="N32">
        <f>VLOOKUP(Tabela4[[#This Row],[ID PNAB]],Tabela3[],6,FALSE)</f>
        <v>4350.9780000000001</v>
      </c>
      <c r="O32">
        <f>VLOOKUP(Tabela4[[#This Row],[ID PSE]],Tabela3[],6,FALSE)</f>
        <v>4587.2730000000001</v>
      </c>
      <c r="P32" t="str">
        <f>VLOOKUP(Tabela4[[#This Row],[ID PNAB]],Tabela3[],8,FALSE)</f>
        <v>-</v>
      </c>
      <c r="Q32" t="str">
        <f>VLOOKUP(Tabela4[[#This Row],[ID PSE]],Tabela3[],8,FALSE)</f>
        <v>-</v>
      </c>
    </row>
    <row r="33" spans="2:17" ht="30" x14ac:dyDescent="0.25">
      <c r="B33">
        <v>4</v>
      </c>
      <c r="C33">
        <v>54</v>
      </c>
      <c r="D33" s="2" t="str">
        <f>VLOOKUP(Tabela4[[#This Row],[ID PNAB]],Tabela3[],3,FALSE)</f>
        <v>scale(log(PIB)) + scale(log(ORC_TOTAL_EMPENHADO))</v>
      </c>
      <c r="E33" s="2" t="str">
        <f>VLOOKUP(Tabela4[[#This Row],[ID PSE]],Tabela3[],3,FALSE)</f>
        <v>scale(log(PIB)) + scale(TX_VETO)</v>
      </c>
      <c r="F33">
        <v>8534.5049999999992</v>
      </c>
      <c r="G33">
        <v>8535.0889999999999</v>
      </c>
      <c r="H33">
        <v>8568.3629999999994</v>
      </c>
      <c r="I33">
        <f>MAX(VLOOKUP(Tabela4[[#This Row],[ID PNAB]],Tabela3[],7,FALSE),VLOOKUP(Tabela4[[#This Row],[ID PSE]],Tabela3[],7,FALSE))</f>
        <v>1.67</v>
      </c>
      <c r="J33">
        <v>2.3E-2</v>
      </c>
      <c r="K33">
        <f>Tabela4[[#This Row],[theta]]/(Tabela4[[#This Row],[theta]]+2)</f>
        <v>1.1369253583786454E-2</v>
      </c>
      <c r="M33">
        <v>4</v>
      </c>
      <c r="N33">
        <f>VLOOKUP(Tabela4[[#This Row],[ID PNAB]],Tabela3[],6,FALSE)</f>
        <v>4284.4799999999996</v>
      </c>
      <c r="O33">
        <f>VLOOKUP(Tabela4[[#This Row],[ID PSE]],Tabela3[],6,FALSE)</f>
        <v>4278.2089999999998</v>
      </c>
      <c r="P33" t="str">
        <f>VLOOKUP(Tabela4[[#This Row],[ID PNAB]],Tabela3[],8,FALSE)</f>
        <v>-</v>
      </c>
      <c r="Q33" t="str">
        <f>VLOOKUP(Tabela4[[#This Row],[ID PSE]],Tabela3[],8,FALSE)</f>
        <v>-</v>
      </c>
    </row>
    <row r="34" spans="2:17" x14ac:dyDescent="0.25">
      <c r="B34">
        <v>2</v>
      </c>
      <c r="C34">
        <v>19</v>
      </c>
      <c r="D34" s="2" t="str">
        <f>VLOOKUP(Tabela4[[#This Row],[ID PNAB]],Tabela3[],3,FALSE)</f>
        <v>scale(log(ORC_TOTAL_EMPENHADO))</v>
      </c>
      <c r="E34" s="2" t="str">
        <f>VLOOKUP(Tabela4[[#This Row],[ID PSE]],Tabela3[],3,FALSE)</f>
        <v>scale(log(ORC_TOTAL_EMPENHADO))</v>
      </c>
      <c r="F34">
        <v>8546.616</v>
      </c>
      <c r="G34">
        <v>8546.9770000000008</v>
      </c>
      <c r="H34">
        <v>8572.9500000000007</v>
      </c>
      <c r="I34">
        <f>MAX(VLOOKUP(Tabela4[[#This Row],[ID PNAB]],Tabela3[],7,FALSE),VLOOKUP(Tabela4[[#This Row],[ID PSE]],Tabela3[],7,FALSE))</f>
        <v>0</v>
      </c>
      <c r="J34">
        <v>0.2223</v>
      </c>
      <c r="K34">
        <f>Tabela4[[#This Row],[theta]]/(Tabela4[[#This Row],[theta]]+2)</f>
        <v>0.10003149889753858</v>
      </c>
      <c r="L34" t="s">
        <v>61</v>
      </c>
      <c r="M34">
        <v>2</v>
      </c>
      <c r="N34">
        <f>VLOOKUP(Tabela4[[#This Row],[ID PNAB]],Tabela3[],6,FALSE)</f>
        <v>4280.1170000000002</v>
      </c>
      <c r="O34">
        <f>VLOOKUP(Tabela4[[#This Row],[ID PSE]],Tabela3[],6,FALSE)</f>
        <v>4294.6130000000003</v>
      </c>
      <c r="P34" t="str">
        <f>VLOOKUP(Tabela4[[#This Row],[ID PNAB]],Tabela3[],8,FALSE)</f>
        <v>-</v>
      </c>
      <c r="Q34" t="str">
        <f>VLOOKUP(Tabela4[[#This Row],[ID PSE]],Tabela3[],8,FALSE)</f>
        <v>-</v>
      </c>
    </row>
    <row r="35" spans="2:17" ht="30" x14ac:dyDescent="0.25">
      <c r="B35">
        <v>4</v>
      </c>
      <c r="C35">
        <v>21</v>
      </c>
      <c r="D35" s="2" t="str">
        <f>VLOOKUP(Tabela4[[#This Row],[ID PNAB]],Tabela3[],3,FALSE)</f>
        <v>scale(log(PIB)) + scale(log(ORC_TOTAL_EMPENHADO))</v>
      </c>
      <c r="E35" s="2" t="str">
        <f>VLOOKUP(Tabela4[[#This Row],[ID PSE]],Tabela3[],3,FALSE)</f>
        <v>scale(log(PIB)) + scale(log(ORC_TOTAL_EMPENHADO))</v>
      </c>
      <c r="F35">
        <v>8546.8439999999991</v>
      </c>
      <c r="G35">
        <v>8547.4279999999999</v>
      </c>
      <c r="H35">
        <v>8580.7019999999993</v>
      </c>
      <c r="I35">
        <f>MAX(VLOOKUP(Tabela4[[#This Row],[ID PNAB]],Tabela3[],7,FALSE),VLOOKUP(Tabela4[[#This Row],[ID PSE]],Tabela3[],7,FALSE))</f>
        <v>1.67</v>
      </c>
      <c r="J35">
        <v>0.22520000000000001</v>
      </c>
      <c r="K35">
        <f>Tabela4[[#This Row],[theta]]/(Tabela4[[#This Row],[theta]]+2)</f>
        <v>0.10120438612259572</v>
      </c>
      <c r="L35" t="s">
        <v>61</v>
      </c>
      <c r="M35">
        <v>4</v>
      </c>
      <c r="N35">
        <f>VLOOKUP(Tabela4[[#This Row],[ID PNAB]],Tabela3[],6,FALSE)</f>
        <v>4284.4799999999996</v>
      </c>
      <c r="O35">
        <f>VLOOKUP(Tabela4[[#This Row],[ID PSE]],Tabela3[],6,FALSE)</f>
        <v>4298.2740000000003</v>
      </c>
      <c r="P35" t="str">
        <f>VLOOKUP(Tabela4[[#This Row],[ID PNAB]],Tabela3[],8,FALSE)</f>
        <v>-</v>
      </c>
      <c r="Q35" t="str">
        <f>VLOOKUP(Tabela4[[#This Row],[ID PSE]],Tabela3[],8,FALSE)</f>
        <v>-</v>
      </c>
    </row>
    <row r="36" spans="2:17" x14ac:dyDescent="0.25">
      <c r="B36">
        <v>60</v>
      </c>
      <c r="C36">
        <v>39</v>
      </c>
      <c r="D36" s="2" t="str">
        <f>VLOOKUP(Tabela4[[#This Row],[ID PNAB]],Tabela3[],3,FALSE)</f>
        <v>scale(TX_VETO)</v>
      </c>
      <c r="E36" s="2" t="str">
        <f>VLOOKUP(Tabela4[[#This Row],[ID PSE]],Tabela3[],3,FALSE)</f>
        <v>scale(TX_VETO)</v>
      </c>
      <c r="F36">
        <v>8840.3130000000001</v>
      </c>
      <c r="H36">
        <v>8874.1710000000003</v>
      </c>
      <c r="I36">
        <f>MAX(VLOOKUP(Tabela4[[#This Row],[ID PNAB]],Tabela3[],7,FALSE),VLOOKUP(Tabela4[[#This Row],[ID PSE]],Tabela3[],7,FALSE))</f>
        <v>0</v>
      </c>
      <c r="J36">
        <v>0.39090000000000003</v>
      </c>
      <c r="K36">
        <f>Tabela4[[#This Row],[theta]]/(Tabela4[[#This Row],[theta]]+2)</f>
        <v>0.16349491823162826</v>
      </c>
      <c r="M36">
        <v>2</v>
      </c>
      <c r="N36">
        <f>VLOOKUP(Tabela4[[#This Row],[ID PNAB]],Tabela3[],6,FALSE)</f>
        <v>4676.9189999999999</v>
      </c>
      <c r="O36">
        <f>VLOOKUP(Tabela4[[#This Row],[ID PSE]],Tabela3[],6,FALSE)</f>
        <v>4281.268</v>
      </c>
      <c r="P36" t="str">
        <f>VLOOKUP(Tabela4[[#This Row],[ID PNAB]],Tabela3[],8,FALSE)</f>
        <v>-</v>
      </c>
      <c r="Q36" t="str">
        <f>VLOOKUP(Tabela4[[#This Row],[ID PSE]],Tabela3[],8,FALSE)</f>
        <v>-</v>
      </c>
    </row>
    <row r="37" spans="2:17" x14ac:dyDescent="0.25">
      <c r="B37">
        <v>61</v>
      </c>
      <c r="C37">
        <v>62</v>
      </c>
      <c r="D37" s="2" t="str">
        <f>VLOOKUP(Tabela4[[#This Row],[ID PNAB]],Tabela3[],3,FALSE)</f>
        <v>scale(log(TX_VETO))</v>
      </c>
      <c r="E37" s="2" t="str">
        <f>VLOOKUP(Tabela4[[#This Row],[ID PSE]],Tabela3[],3,FALSE)</f>
        <v>scale(log(TX_VETO))</v>
      </c>
      <c r="F37">
        <v>8848.5589999999993</v>
      </c>
      <c r="H37">
        <v>8874.893</v>
      </c>
      <c r="I37">
        <f>MAX(VLOOKUP(Tabela4[[#This Row],[ID PNAB]],Tabela3[],7,FALSE),VLOOKUP(Tabela4[[#This Row],[ID PSE]],Tabela3[],7,FALSE))</f>
        <v>0</v>
      </c>
      <c r="J37">
        <v>5.7000000000000002E-2</v>
      </c>
      <c r="K37">
        <f>Tabela4[[#This Row],[theta]]/(Tabela4[[#This Row],[theta]]+2)</f>
        <v>2.7710257656781721E-2</v>
      </c>
      <c r="M37">
        <v>2</v>
      </c>
      <c r="N37">
        <f>VLOOKUP(Tabela4[[#This Row],[ID PNAB]],Tabela3[],6,FALSE)</f>
        <v>4702.3190000000004</v>
      </c>
      <c r="O37">
        <f>VLOOKUP(Tabela4[[#This Row],[ID PSE]],Tabela3[],6,FALSE)</f>
        <v>4167.9979999999996</v>
      </c>
      <c r="P37" t="str">
        <f>VLOOKUP(Tabela4[[#This Row],[ID PNAB]],Tabela3[],8,FALSE)</f>
        <v>-</v>
      </c>
      <c r="Q37" t="str">
        <f>VLOOKUP(Tabela4[[#This Row],[ID PSE]],Tabela3[],8,FALSE)</f>
        <v>-</v>
      </c>
    </row>
    <row r="38" spans="2:17" ht="30" x14ac:dyDescent="0.25">
      <c r="B38">
        <v>65</v>
      </c>
      <c r="C38">
        <v>66</v>
      </c>
      <c r="D38" s="2" t="str">
        <f>VLOOKUP(Tabela4[[#This Row],[ID PNAB]],Tabela3[],3,FALSE)</f>
        <v>scale(log(PIB)) + scale(log(DISCR_EMPENHADO))</v>
      </c>
      <c r="E38" s="2" t="str">
        <f>VLOOKUP(Tabela4[[#This Row],[ID PSE]],Tabela3[],3,FALSE)</f>
        <v>scale(log(PIB)) + scale(TX_PROP_MNST)</v>
      </c>
      <c r="F38">
        <v>8941.2459999999992</v>
      </c>
      <c r="H38">
        <v>8975.1049999999996</v>
      </c>
      <c r="I38">
        <f>MAX(VLOOKUP(Tabela4[[#This Row],[ID PNAB]],Tabela3[],7,FALSE),VLOOKUP(Tabela4[[#This Row],[ID PSE]],Tabela3[],7,FALSE))</f>
        <v>1.54</v>
      </c>
      <c r="J38">
        <v>0.60799999999999998</v>
      </c>
      <c r="K38">
        <f>Tabela4[[#This Row],[theta]]/(Tabela4[[#This Row],[theta]]+2)</f>
        <v>0.23312883435582821</v>
      </c>
      <c r="M38">
        <v>4</v>
      </c>
      <c r="N38">
        <f>VLOOKUP(Tabela4[[#This Row],[ID PNAB]],Tabela3[],6,FALSE)</f>
        <v>4350.5540000000001</v>
      </c>
      <c r="O38">
        <f>VLOOKUP(Tabela4[[#This Row],[ID PSE]],Tabela3[],6,FALSE)</f>
        <v>4627.6949999999997</v>
      </c>
      <c r="P38" t="str">
        <f>VLOOKUP(Tabela4[[#This Row],[ID PNAB]],Tabela3[],8,FALSE)</f>
        <v>-</v>
      </c>
      <c r="Q38" t="str">
        <f>VLOOKUP(Tabela4[[#This Row],[ID PSE]],Tabela3[],8,FALSE)</f>
        <v>-</v>
      </c>
    </row>
    <row r="39" spans="2:17" x14ac:dyDescent="0.25">
      <c r="B39">
        <v>58</v>
      </c>
      <c r="C39">
        <v>64</v>
      </c>
      <c r="D39" s="2" t="str">
        <f>VLOOKUP(Tabela4[[#This Row],[ID PNAB]],Tabela3[],3,FALSE)</f>
        <v>scale(log(DISCR_EMPENHADO))</v>
      </c>
      <c r="E39" s="2" t="str">
        <f>VLOOKUP(Tabela4[[#This Row],[ID PSE]],Tabela3[],3,FALSE)</f>
        <v>scale(TX_PROP_MNST)</v>
      </c>
      <c r="F39">
        <v>8964.6849999999995</v>
      </c>
      <c r="H39">
        <v>8991.0190000000002</v>
      </c>
      <c r="I39">
        <f>MAX(VLOOKUP(Tabela4[[#This Row],[ID PNAB]],Tabela3[],7,FALSE),VLOOKUP(Tabela4[[#This Row],[ID PSE]],Tabela3[],7,FALSE))</f>
        <v>0</v>
      </c>
      <c r="J39">
        <v>0.76739999999999997</v>
      </c>
      <c r="K39">
        <f>Tabela4[[#This Row],[theta]]/(Tabela4[[#This Row],[theta]]+2)</f>
        <v>0.27729999277299994</v>
      </c>
      <c r="M39">
        <v>2</v>
      </c>
      <c r="N39">
        <f>VLOOKUP(Tabela4[[#This Row],[ID PNAB]],Tabela3[],6,FALSE)</f>
        <v>4350.9780000000001</v>
      </c>
      <c r="O39">
        <f>VLOOKUP(Tabela4[[#This Row],[ID PSE]],Tabela3[],6,FALSE)</f>
        <v>4645.1559999999999</v>
      </c>
      <c r="P39" t="str">
        <f>VLOOKUP(Tabela4[[#This Row],[ID PNAB]],Tabela3[],8,FALSE)</f>
        <v>-</v>
      </c>
      <c r="Q39" t="str">
        <f>VLOOKUP(Tabela4[[#This Row],[ID PSE]],Tabela3[],8,FALSE)</f>
        <v>-</v>
      </c>
    </row>
    <row r="40" spans="2:17" x14ac:dyDescent="0.25">
      <c r="B40">
        <v>56</v>
      </c>
      <c r="C40">
        <v>57</v>
      </c>
      <c r="D40" s="2" t="str">
        <f>VLOOKUP(Tabela4[[#This Row],[ID PNAB]],Tabela3[],3,FALSE)</f>
        <v>scale(DISCR_EMPENHADO)</v>
      </c>
      <c r="E40" s="2" t="str">
        <f>VLOOKUP(Tabela4[[#This Row],[ID PSE]],Tabela3[],3,FALSE)</f>
        <v>scale(DISCR_EMPENHADO)</v>
      </c>
      <c r="F40">
        <v>9083.6010000000006</v>
      </c>
      <c r="H40">
        <v>9109.9359999999997</v>
      </c>
      <c r="I40">
        <f>MAX(VLOOKUP(Tabela4[[#This Row],[ID PNAB]],Tabela3[],7,FALSE),VLOOKUP(Tabela4[[#This Row],[ID PSE]],Tabela3[],7,FALSE))</f>
        <v>0</v>
      </c>
      <c r="J40">
        <v>0.53159999999999996</v>
      </c>
      <c r="K40">
        <f>Tabela4[[#This Row],[theta]]/(Tabela4[[#This Row],[theta]]+2)</f>
        <v>0.20998577974403537</v>
      </c>
      <c r="M40">
        <v>2</v>
      </c>
      <c r="N40">
        <f>VLOOKUP(Tabela4[[#This Row],[ID PNAB]],Tabela3[],6,FALSE)</f>
        <v>4421.4219999999996</v>
      </c>
      <c r="O40">
        <f>VLOOKUP(Tabela4[[#This Row],[ID PSE]],Tabela3[],6,FALSE)</f>
        <v>4691.5290000000005</v>
      </c>
      <c r="P40" t="str">
        <f>VLOOKUP(Tabela4[[#This Row],[ID PNAB]],Tabela3[],8,FALSE)</f>
        <v>-</v>
      </c>
      <c r="Q40" t="str">
        <f>VLOOKUP(Tabela4[[#This Row],[ID PSE]],Tabela3[],8,FALSE)</f>
        <v>-</v>
      </c>
    </row>
    <row r="41" spans="2:17" x14ac:dyDescent="0.25">
      <c r="B41">
        <v>3</v>
      </c>
      <c r="C41">
        <v>20</v>
      </c>
      <c r="D41" s="2" t="str">
        <f>VLOOKUP(Tabela4[[#This Row],[ID PNAB]],Tabela3[],3,FALSE)</f>
        <v>scale(log(PIB))</v>
      </c>
      <c r="E41" s="2" t="str">
        <f>VLOOKUP(Tabela4[[#This Row],[ID PSE]],Tabela3[],3,FALSE)</f>
        <v>scale(log(PIB))</v>
      </c>
      <c r="F41">
        <v>9552.893</v>
      </c>
      <c r="G41">
        <v>9553.2549999999992</v>
      </c>
      <c r="H41">
        <v>9579.2279999999992</v>
      </c>
      <c r="I41">
        <f>MAX(VLOOKUP(Tabela4[[#This Row],[ID PNAB]],Tabela3[],7,FALSE),VLOOKUP(Tabela4[[#This Row],[ID PSE]],Tabela3[],7,FALSE))</f>
        <v>0</v>
      </c>
      <c r="J41">
        <v>0.87360000000000004</v>
      </c>
      <c r="K41">
        <f>Tabela4[[#This Row],[theta]]/(Tabela4[[#This Row],[theta]]+2)</f>
        <v>0.3040089086859688</v>
      </c>
      <c r="L41" t="s">
        <v>61</v>
      </c>
      <c r="M41">
        <v>2</v>
      </c>
      <c r="N41">
        <f>VLOOKUP(Tabela4[[#This Row],[ID PNAB]],Tabela3[],6,FALSE)</f>
        <v>4718.6880000000001</v>
      </c>
      <c r="O41">
        <f>VLOOKUP(Tabela4[[#This Row],[ID PSE]],Tabela3[],6,FALSE)</f>
        <v>4926.3869999999997</v>
      </c>
      <c r="P41" t="str">
        <f>VLOOKUP(Tabela4[[#This Row],[ID PNAB]],Tabela3[],8,FALSE)</f>
        <v>-</v>
      </c>
      <c r="Q41" t="str">
        <f>VLOOKUP(Tabela4[[#This Row],[ID PSE]],Tabela3[],8,FALSE)</f>
        <v>-</v>
      </c>
    </row>
    <row r="42" spans="2:17" x14ac:dyDescent="0.25">
      <c r="B42">
        <v>1</v>
      </c>
      <c r="C42">
        <v>18</v>
      </c>
      <c r="D42" s="2" t="str">
        <f>VLOOKUP(Tabela4[[#This Row],[ID PNAB]],Tabela3[],3,FALSE)</f>
        <v>-</v>
      </c>
      <c r="E42" s="2" t="str">
        <f>VLOOKUP(Tabela4[[#This Row],[ID PSE]],Tabela3[],3,FALSE)</f>
        <v>-</v>
      </c>
      <c r="F42">
        <v>9787.0730000000003</v>
      </c>
      <c r="G42">
        <v>9787.2659999999996</v>
      </c>
      <c r="H42">
        <v>9805.884</v>
      </c>
      <c r="I42">
        <f>MAX(VLOOKUP(Tabela4[[#This Row],[ID PNAB]],Tabela3[],7,FALSE),VLOOKUP(Tabela4[[#This Row],[ID PSE]],Tabela3[],7,FALSE))</f>
        <v>0</v>
      </c>
      <c r="J42">
        <v>0.63539999999999996</v>
      </c>
      <c r="K42">
        <f>Tabela4[[#This Row],[theta]]/(Tabela4[[#This Row],[theta]]+2)</f>
        <v>0.24110192001214237</v>
      </c>
      <c r="L42" t="s">
        <v>62</v>
      </c>
      <c r="M42">
        <v>0</v>
      </c>
      <c r="N42">
        <f>VLOOKUP(Tabela4[[#This Row],[ID PNAB]],Tabela3[],6,FALSE)</f>
        <v>4853.9719999999998</v>
      </c>
      <c r="O42">
        <f>VLOOKUP(Tabela4[[#This Row],[ID PSE]],Tabela3[],6,FALSE)</f>
        <v>4996.1909999999998</v>
      </c>
      <c r="P42" t="str">
        <f>VLOOKUP(Tabela4[[#This Row],[ID PNAB]],Tabela3[],8,FALSE)</f>
        <v>-</v>
      </c>
      <c r="Q42" t="str">
        <f>VLOOKUP(Tabela4[[#This Row],[ID PSE]],Tabela3[],8,FALSE)</f>
        <v>-</v>
      </c>
    </row>
  </sheetData>
  <mergeCells count="1">
    <mergeCell ref="B2:Q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Modelos univariados</vt:lpstr>
      <vt:lpstr>Modelos bivariados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Sanchi Cardoso do Amaral</dc:creator>
  <cp:lastModifiedBy>Breno Sanchi Cardoso do Amaral</cp:lastModifiedBy>
  <dcterms:created xsi:type="dcterms:W3CDTF">2025-11-13T15:29:22Z</dcterms:created>
  <dcterms:modified xsi:type="dcterms:W3CDTF">2025-12-09T03:52:39Z</dcterms:modified>
</cp:coreProperties>
</file>